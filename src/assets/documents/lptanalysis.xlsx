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G:\My Drive\"/>
    </mc:Choice>
  </mc:AlternateContent>
  <xr:revisionPtr revIDLastSave="0" documentId="13_ncr:1_{557C5E21-9F75-4A5C-9C4E-8ADD587CC8CE}" xr6:coauthVersionLast="47" xr6:coauthVersionMax="47" xr10:uidLastSave="{00000000-0000-0000-0000-000000000000}"/>
  <bookViews>
    <workbookView xWindow="-105" yWindow="0" windowWidth="19410" windowHeight="15585" xr2:uid="{842B1440-3D14-46FE-98A8-BED65622F290}"/>
  </bookViews>
  <sheets>
    <sheet name="Dashboard" sheetId="4" r:id="rId1"/>
    <sheet name="Analysis" sheetId="2" r:id="rId2"/>
    <sheet name="Dataset" sheetId="1" r:id="rId3"/>
  </sheets>
  <definedNames>
    <definedName name="_xlnm._FilterDatabase" localSheetId="2" hidden="1">Dataset!$A$1:$R$61</definedName>
    <definedName name="Slicer_Month">#N/A</definedName>
    <definedName name="Slicer_Month1">#N/A</definedName>
    <definedName name="Slicer_VehicleType">#N/A</definedName>
  </definedNames>
  <calcPr calcId="191029"/>
  <pivotCaches>
    <pivotCache cacheId="111"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2" i="1" l="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L242" i="1" a="1"/>
  <c r="L242" i="1" s="1"/>
  <c r="L243" i="1" a="1"/>
  <c r="L243" i="1" s="1"/>
  <c r="L244" i="1" a="1"/>
  <c r="L244" i="1" s="1"/>
  <c r="Q244" i="1" s="1"/>
  <c r="L245" i="1" a="1"/>
  <c r="L245" i="1" s="1"/>
  <c r="Q245" i="1" s="1"/>
  <c r="L246" i="1" a="1"/>
  <c r="L246" i="1" s="1"/>
  <c r="L247" i="1" a="1"/>
  <c r="L247" i="1" s="1"/>
  <c r="L248" i="1" a="1"/>
  <c r="L248" i="1" s="1"/>
  <c r="Q248" i="1" s="1"/>
  <c r="L249" i="1" a="1"/>
  <c r="L249" i="1" s="1"/>
  <c r="Q249" i="1" s="1"/>
  <c r="L250" i="1" a="1"/>
  <c r="L250" i="1" s="1"/>
  <c r="L251" i="1" a="1"/>
  <c r="L251" i="1" s="1"/>
  <c r="L252" i="1" a="1"/>
  <c r="L252" i="1" s="1"/>
  <c r="Q252" i="1" s="1"/>
  <c r="L253" i="1" a="1"/>
  <c r="L253" i="1" s="1"/>
  <c r="Q253" i="1" s="1"/>
  <c r="L254" i="1" a="1"/>
  <c r="L254" i="1" s="1"/>
  <c r="L255" i="1" a="1"/>
  <c r="L255" i="1" s="1"/>
  <c r="L256" i="1" a="1"/>
  <c r="L256" i="1" s="1"/>
  <c r="Q256" i="1" s="1"/>
  <c r="L257" i="1" a="1"/>
  <c r="L257" i="1" s="1"/>
  <c r="Q257" i="1" s="1"/>
  <c r="L258" i="1" a="1"/>
  <c r="L258" i="1" s="1"/>
  <c r="L259" i="1" a="1"/>
  <c r="L259" i="1" s="1"/>
  <c r="L260" i="1" a="1"/>
  <c r="L260" i="1" s="1"/>
  <c r="Q260" i="1" s="1"/>
  <c r="L261" i="1" a="1"/>
  <c r="L261" i="1" s="1"/>
  <c r="Q261" i="1" s="1"/>
  <c r="L262" i="1" a="1"/>
  <c r="L262" i="1" s="1"/>
  <c r="L263" i="1" a="1"/>
  <c r="L263" i="1" s="1"/>
  <c r="L264" i="1" a="1"/>
  <c r="L264" i="1" s="1"/>
  <c r="Q264" i="1" s="1"/>
  <c r="L265" i="1" a="1"/>
  <c r="L265" i="1" s="1"/>
  <c r="Q265" i="1" s="1"/>
  <c r="L266" i="1" a="1"/>
  <c r="L266" i="1" s="1"/>
  <c r="L267" i="1" a="1"/>
  <c r="L267" i="1" s="1"/>
  <c r="L268" i="1" a="1"/>
  <c r="L268" i="1" s="1"/>
  <c r="Q268" i="1" s="1"/>
  <c r="L269" i="1" a="1"/>
  <c r="L269" i="1" s="1"/>
  <c r="Q269" i="1" s="1"/>
  <c r="L270" i="1" a="1"/>
  <c r="L270" i="1" s="1"/>
  <c r="L271" i="1" a="1"/>
  <c r="L271" i="1" s="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K222" i="1"/>
  <c r="K223" i="1"/>
  <c r="K224" i="1"/>
  <c r="K225" i="1"/>
  <c r="K226" i="1"/>
  <c r="K227" i="1"/>
  <c r="Q227" i="1" s="1"/>
  <c r="K228" i="1"/>
  <c r="K229" i="1"/>
  <c r="K230" i="1"/>
  <c r="K231" i="1"/>
  <c r="K232" i="1"/>
  <c r="K233" i="1"/>
  <c r="K234" i="1"/>
  <c r="K235" i="1"/>
  <c r="K236" i="1"/>
  <c r="K237" i="1"/>
  <c r="K238" i="1"/>
  <c r="K239" i="1"/>
  <c r="K240" i="1"/>
  <c r="K241" i="1"/>
  <c r="L222" i="1" a="1"/>
  <c r="L222" i="1" s="1"/>
  <c r="Q222" i="1" s="1"/>
  <c r="L223" i="1" a="1"/>
  <c r="L223" i="1" s="1"/>
  <c r="Q223" i="1" s="1"/>
  <c r="L224" i="1" a="1"/>
  <c r="L224" i="1" s="1"/>
  <c r="Q224" i="1" s="1"/>
  <c r="L225" i="1" a="1"/>
  <c r="L225" i="1"/>
  <c r="Q225" i="1" s="1"/>
  <c r="L226" i="1" a="1"/>
  <c r="L226" i="1" s="1"/>
  <c r="Q226" i="1" s="1"/>
  <c r="L227" i="1" a="1"/>
  <c r="L227" i="1"/>
  <c r="L228" i="1" a="1"/>
  <c r="L228" i="1" s="1"/>
  <c r="Q228" i="1" s="1"/>
  <c r="L229" i="1" a="1"/>
  <c r="L229" i="1" s="1"/>
  <c r="Q229" i="1" s="1"/>
  <c r="L230" i="1" a="1"/>
  <c r="L230" i="1" s="1"/>
  <c r="L231" i="1" a="1"/>
  <c r="L231" i="1" s="1"/>
  <c r="L232" i="1" a="1"/>
  <c r="L232" i="1" s="1"/>
  <c r="Q232" i="1" s="1"/>
  <c r="L233" i="1" a="1"/>
  <c r="L233" i="1" s="1"/>
  <c r="L234" i="1" a="1"/>
  <c r="L234" i="1" s="1"/>
  <c r="L235" i="1" a="1"/>
  <c r="L235" i="1" s="1"/>
  <c r="L236" i="1" a="1"/>
  <c r="L236" i="1" s="1"/>
  <c r="Q236" i="1" s="1"/>
  <c r="L237" i="1" a="1"/>
  <c r="L237" i="1" s="1"/>
  <c r="L238" i="1" a="1"/>
  <c r="L238" i="1" s="1"/>
  <c r="L239" i="1" a="1"/>
  <c r="L239" i="1" s="1"/>
  <c r="L240" i="1" a="1"/>
  <c r="L240" i="1" s="1"/>
  <c r="Q240" i="1" s="1"/>
  <c r="L241" i="1" a="1"/>
  <c r="L241" i="1" s="1"/>
  <c r="M222" i="1"/>
  <c r="M223" i="1"/>
  <c r="M224" i="1"/>
  <c r="M225" i="1"/>
  <c r="M226" i="1"/>
  <c r="M227" i="1"/>
  <c r="M228" i="1"/>
  <c r="M229" i="1"/>
  <c r="M230" i="1"/>
  <c r="M231" i="1"/>
  <c r="M232" i="1"/>
  <c r="M233" i="1"/>
  <c r="M234" i="1"/>
  <c r="M235" i="1"/>
  <c r="M236" i="1"/>
  <c r="M237" i="1"/>
  <c r="M238" i="1"/>
  <c r="M239" i="1"/>
  <c r="M240" i="1"/>
  <c r="M241" i="1"/>
  <c r="N222" i="1"/>
  <c r="N223" i="1"/>
  <c r="N224" i="1"/>
  <c r="N225" i="1"/>
  <c r="N226" i="1"/>
  <c r="N227" i="1"/>
  <c r="N228" i="1"/>
  <c r="N229" i="1"/>
  <c r="N230" i="1"/>
  <c r="N231" i="1"/>
  <c r="N232" i="1"/>
  <c r="N233" i="1"/>
  <c r="N234" i="1"/>
  <c r="N235" i="1"/>
  <c r="N236" i="1"/>
  <c r="N237" i="1"/>
  <c r="N238" i="1"/>
  <c r="N239" i="1"/>
  <c r="N240" i="1"/>
  <c r="N241" i="1"/>
  <c r="O222" i="1"/>
  <c r="O223" i="1"/>
  <c r="O224" i="1"/>
  <c r="O225" i="1"/>
  <c r="O226" i="1"/>
  <c r="O227" i="1"/>
  <c r="O228" i="1"/>
  <c r="O229" i="1"/>
  <c r="O230" i="1"/>
  <c r="O231" i="1"/>
  <c r="O232" i="1"/>
  <c r="O233" i="1"/>
  <c r="O234" i="1"/>
  <c r="O235" i="1"/>
  <c r="O236" i="1"/>
  <c r="O237" i="1"/>
  <c r="O238" i="1"/>
  <c r="O239" i="1"/>
  <c r="O240" i="1"/>
  <c r="O241" i="1"/>
  <c r="P222" i="1"/>
  <c r="P223" i="1"/>
  <c r="P224" i="1"/>
  <c r="P225" i="1"/>
  <c r="P226" i="1"/>
  <c r="P227" i="1"/>
  <c r="P228" i="1"/>
  <c r="P229" i="1"/>
  <c r="P230" i="1"/>
  <c r="P231" i="1"/>
  <c r="P232" i="1"/>
  <c r="P233" i="1"/>
  <c r="P234" i="1"/>
  <c r="P235" i="1"/>
  <c r="P236" i="1"/>
  <c r="P237" i="1"/>
  <c r="P238" i="1"/>
  <c r="P239" i="1"/>
  <c r="P240" i="1"/>
  <c r="P24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L172" i="1" a="1"/>
  <c r="L172" i="1"/>
  <c r="Q172" i="1" s="1"/>
  <c r="L173" i="1" a="1"/>
  <c r="L173" i="1" s="1"/>
  <c r="L174" i="1" a="1"/>
  <c r="L174" i="1"/>
  <c r="Q174" i="1" s="1"/>
  <c r="L175" i="1" a="1"/>
  <c r="L175" i="1" s="1"/>
  <c r="Q175" i="1" s="1"/>
  <c r="L176" i="1" a="1"/>
  <c r="L176" i="1"/>
  <c r="Q176" i="1" s="1"/>
  <c r="L177" i="1" a="1"/>
  <c r="L177" i="1" s="1"/>
  <c r="Q177" i="1" s="1"/>
  <c r="L178" i="1" a="1"/>
  <c r="L178" i="1" s="1"/>
  <c r="Q178" i="1" s="1"/>
  <c r="L179" i="1" a="1"/>
  <c r="L179" i="1" s="1"/>
  <c r="L180" i="1" a="1"/>
  <c r="L180" i="1"/>
  <c r="Q180" i="1" s="1"/>
  <c r="L181" i="1" a="1"/>
  <c r="L181" i="1" s="1"/>
  <c r="L182" i="1" a="1"/>
  <c r="L182" i="1"/>
  <c r="L183" i="1" a="1"/>
  <c r="L183" i="1" s="1"/>
  <c r="Q183" i="1" s="1"/>
  <c r="L184" i="1" a="1"/>
  <c r="L184" i="1"/>
  <c r="Q184" i="1" s="1"/>
  <c r="L185" i="1" a="1"/>
  <c r="L185" i="1" s="1"/>
  <c r="Q185" i="1" s="1"/>
  <c r="L186" i="1" a="1"/>
  <c r="L186" i="1" s="1"/>
  <c r="Q186" i="1" s="1"/>
  <c r="L187" i="1" a="1"/>
  <c r="L187" i="1" s="1"/>
  <c r="L188" i="1" a="1"/>
  <c r="L188" i="1"/>
  <c r="Q188" i="1" s="1"/>
  <c r="L189" i="1" a="1"/>
  <c r="L189" i="1" s="1"/>
  <c r="L190" i="1" a="1"/>
  <c r="L190" i="1"/>
  <c r="Q190" i="1" s="1"/>
  <c r="L191" i="1" a="1"/>
  <c r="L191" i="1" s="1"/>
  <c r="Q191" i="1" s="1"/>
  <c r="L192" i="1" a="1"/>
  <c r="L192" i="1"/>
  <c r="Q192" i="1" s="1"/>
  <c r="L193" i="1" a="1"/>
  <c r="L193" i="1" s="1"/>
  <c r="Q193" i="1" s="1"/>
  <c r="L194" i="1" a="1"/>
  <c r="L194" i="1" s="1"/>
  <c r="Q194" i="1" s="1"/>
  <c r="L195" i="1" a="1"/>
  <c r="L195" i="1" s="1"/>
  <c r="L196" i="1" a="1"/>
  <c r="L196" i="1"/>
  <c r="Q196" i="1" s="1"/>
  <c r="L197" i="1" a="1"/>
  <c r="L197" i="1" s="1"/>
  <c r="L198" i="1" a="1"/>
  <c r="L198" i="1"/>
  <c r="L199" i="1" a="1"/>
  <c r="L199" i="1" s="1"/>
  <c r="Q199" i="1" s="1"/>
  <c r="L200" i="1" a="1"/>
  <c r="L200" i="1"/>
  <c r="Q200" i="1" s="1"/>
  <c r="L201" i="1" a="1"/>
  <c r="L201" i="1" s="1"/>
  <c r="Q201" i="1" s="1"/>
  <c r="L202" i="1" a="1"/>
  <c r="L202" i="1" s="1"/>
  <c r="Q202" i="1" s="1"/>
  <c r="L203" i="1" a="1"/>
  <c r="L203" i="1" s="1"/>
  <c r="L204" i="1" a="1"/>
  <c r="L204" i="1"/>
  <c r="Q204" i="1" s="1"/>
  <c r="L205" i="1" a="1"/>
  <c r="L205" i="1" s="1"/>
  <c r="L206" i="1" a="1"/>
  <c r="L206" i="1"/>
  <c r="Q206" i="1" s="1"/>
  <c r="L207" i="1" a="1"/>
  <c r="L207" i="1" s="1"/>
  <c r="Q207" i="1" s="1"/>
  <c r="L208" i="1" a="1"/>
  <c r="L208" i="1"/>
  <c r="Q208" i="1" s="1"/>
  <c r="L209" i="1" a="1"/>
  <c r="L209" i="1" s="1"/>
  <c r="Q209" i="1" s="1"/>
  <c r="L210" i="1" a="1"/>
  <c r="L210" i="1" s="1"/>
  <c r="Q210" i="1" s="1"/>
  <c r="L211" i="1" a="1"/>
  <c r="L211" i="1" s="1"/>
  <c r="L212" i="1" a="1"/>
  <c r="L212" i="1"/>
  <c r="Q212" i="1" s="1"/>
  <c r="L213" i="1" a="1"/>
  <c r="L213" i="1" s="1"/>
  <c r="L214" i="1" a="1"/>
  <c r="L214" i="1"/>
  <c r="L215" i="1" a="1"/>
  <c r="L215" i="1" s="1"/>
  <c r="Q215" i="1" s="1"/>
  <c r="L216" i="1" a="1"/>
  <c r="L216" i="1"/>
  <c r="Q216" i="1" s="1"/>
  <c r="L217" i="1" a="1"/>
  <c r="L217" i="1" s="1"/>
  <c r="Q217" i="1" s="1"/>
  <c r="L218" i="1" a="1"/>
  <c r="L218" i="1" s="1"/>
  <c r="Q218" i="1" s="1"/>
  <c r="L219" i="1" a="1"/>
  <c r="L219" i="1" s="1"/>
  <c r="L220" i="1" a="1"/>
  <c r="L220" i="1"/>
  <c r="Q220" i="1" s="1"/>
  <c r="L221" i="1" a="1"/>
  <c r="L221" i="1" s="1"/>
  <c r="Q221" i="1" s="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Q182" i="1"/>
  <c r="Q198" i="1"/>
  <c r="Q214"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L122" i="1" a="1"/>
  <c r="L122" i="1" s="1"/>
  <c r="Q122" i="1" s="1"/>
  <c r="L123" i="1" a="1"/>
  <c r="L123" i="1" s="1"/>
  <c r="L124" i="1" a="1"/>
  <c r="L124" i="1"/>
  <c r="Q124" i="1" s="1"/>
  <c r="L125" i="1" a="1"/>
  <c r="L125" i="1" s="1"/>
  <c r="Q125" i="1" s="1"/>
  <c r="L126" i="1" a="1"/>
  <c r="L126" i="1"/>
  <c r="Q126" i="1" s="1"/>
  <c r="L127" i="1" a="1"/>
  <c r="L127" i="1" s="1"/>
  <c r="Q127" i="1" s="1"/>
  <c r="L128" i="1" a="1"/>
  <c r="L128" i="1"/>
  <c r="L129" i="1" a="1"/>
  <c r="L129" i="1" s="1"/>
  <c r="Q129" i="1" s="1"/>
  <c r="L130" i="1" a="1"/>
  <c r="L130" i="1" s="1"/>
  <c r="Q130" i="1" s="1"/>
  <c r="L131" i="1" a="1"/>
  <c r="L131" i="1" s="1"/>
  <c r="L132" i="1" a="1"/>
  <c r="L132" i="1"/>
  <c r="Q132" i="1" s="1"/>
  <c r="L133" i="1" a="1"/>
  <c r="L133" i="1" s="1"/>
  <c r="Q133" i="1" s="1"/>
  <c r="L134" i="1" a="1"/>
  <c r="L134" i="1"/>
  <c r="Q134" i="1" s="1"/>
  <c r="L135" i="1" a="1"/>
  <c r="L135" i="1" s="1"/>
  <c r="Q135" i="1" s="1"/>
  <c r="L136" i="1" a="1"/>
  <c r="L136" i="1"/>
  <c r="L137" i="1" a="1"/>
  <c r="L137" i="1" s="1"/>
  <c r="Q137" i="1" s="1"/>
  <c r="L138" i="1" a="1"/>
  <c r="L138" i="1" s="1"/>
  <c r="Q138" i="1" s="1"/>
  <c r="L139" i="1" a="1"/>
  <c r="L139" i="1" s="1"/>
  <c r="L140" i="1" a="1"/>
  <c r="L140" i="1"/>
  <c r="Q140" i="1" s="1"/>
  <c r="L141" i="1" a="1"/>
  <c r="L141" i="1" s="1"/>
  <c r="Q141" i="1" s="1"/>
  <c r="L142" i="1" a="1"/>
  <c r="L142" i="1"/>
  <c r="Q142" i="1" s="1"/>
  <c r="L143" i="1" a="1"/>
  <c r="L143" i="1" s="1"/>
  <c r="Q143" i="1" s="1"/>
  <c r="L144" i="1" a="1"/>
  <c r="L144" i="1"/>
  <c r="L145" i="1" a="1"/>
  <c r="L145" i="1" s="1"/>
  <c r="Q145" i="1" s="1"/>
  <c r="L146" i="1" a="1"/>
  <c r="L146" i="1" s="1"/>
  <c r="Q146" i="1" s="1"/>
  <c r="L147" i="1" a="1"/>
  <c r="L147" i="1" s="1"/>
  <c r="L148" i="1" a="1"/>
  <c r="L148" i="1"/>
  <c r="Q148" i="1" s="1"/>
  <c r="L149" i="1" a="1"/>
  <c r="L149" i="1" s="1"/>
  <c r="Q149" i="1" s="1"/>
  <c r="L150" i="1" a="1"/>
  <c r="L150" i="1"/>
  <c r="Q150" i="1" s="1"/>
  <c r="L151" i="1" a="1"/>
  <c r="L151" i="1" s="1"/>
  <c r="Q151" i="1" s="1"/>
  <c r="L152" i="1" a="1"/>
  <c r="L152" i="1"/>
  <c r="L153" i="1" a="1"/>
  <c r="L153" i="1" s="1"/>
  <c r="Q153" i="1" s="1"/>
  <c r="L154" i="1" a="1"/>
  <c r="L154" i="1" s="1"/>
  <c r="Q154" i="1" s="1"/>
  <c r="L155" i="1" a="1"/>
  <c r="L155" i="1" s="1"/>
  <c r="L156" i="1" a="1"/>
  <c r="L156" i="1"/>
  <c r="Q156" i="1" s="1"/>
  <c r="L157" i="1" a="1"/>
  <c r="L157" i="1" s="1"/>
  <c r="Q157" i="1" s="1"/>
  <c r="L158" i="1" a="1"/>
  <c r="L158" i="1"/>
  <c r="Q158" i="1" s="1"/>
  <c r="L159" i="1" a="1"/>
  <c r="L159" i="1" s="1"/>
  <c r="Q159" i="1" s="1"/>
  <c r="L160" i="1" a="1"/>
  <c r="L160" i="1"/>
  <c r="L161" i="1" a="1"/>
  <c r="L161" i="1" s="1"/>
  <c r="Q161" i="1" s="1"/>
  <c r="L162" i="1" a="1"/>
  <c r="L162" i="1" s="1"/>
  <c r="Q162" i="1" s="1"/>
  <c r="L163" i="1" a="1"/>
  <c r="L163" i="1" s="1"/>
  <c r="L164" i="1" a="1"/>
  <c r="L164" i="1"/>
  <c r="Q164" i="1" s="1"/>
  <c r="L165" i="1" a="1"/>
  <c r="L165" i="1" s="1"/>
  <c r="Q165" i="1" s="1"/>
  <c r="L166" i="1" a="1"/>
  <c r="L166" i="1"/>
  <c r="Q166" i="1" s="1"/>
  <c r="L167" i="1" a="1"/>
  <c r="L167" i="1" s="1"/>
  <c r="Q167" i="1" s="1"/>
  <c r="L168" i="1" a="1"/>
  <c r="L168" i="1"/>
  <c r="L169" i="1" a="1"/>
  <c r="L169" i="1" s="1"/>
  <c r="Q169" i="1" s="1"/>
  <c r="L170" i="1" a="1"/>
  <c r="L170" i="1" s="1"/>
  <c r="Q170" i="1" s="1"/>
  <c r="L171" i="1" a="1"/>
  <c r="L171" i="1" s="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O4" i="4"/>
  <c r="J4" i="4"/>
  <c r="E4" i="4"/>
  <c r="Q235" i="1" l="1"/>
  <c r="Q171" i="1"/>
  <c r="Q168" i="1"/>
  <c r="Q163" i="1"/>
  <c r="Q160" i="1"/>
  <c r="Q155" i="1"/>
  <c r="Q152" i="1"/>
  <c r="Q147" i="1"/>
  <c r="Q144" i="1"/>
  <c r="Q139" i="1"/>
  <c r="Q136" i="1"/>
  <c r="Q131" i="1"/>
  <c r="Q128" i="1"/>
  <c r="Q123" i="1"/>
  <c r="Q219" i="1"/>
  <c r="Q211" i="1"/>
  <c r="Q203" i="1"/>
  <c r="Q195" i="1"/>
  <c r="Q187" i="1"/>
  <c r="Q179" i="1"/>
  <c r="Q238" i="1"/>
  <c r="Q234" i="1"/>
  <c r="Q230" i="1"/>
  <c r="Q271" i="1"/>
  <c r="Q267" i="1"/>
  <c r="Q263" i="1"/>
  <c r="Q259" i="1"/>
  <c r="Q255" i="1"/>
  <c r="Q251" i="1"/>
  <c r="Q247" i="1"/>
  <c r="Q243" i="1"/>
  <c r="Q239" i="1"/>
  <c r="Q231" i="1"/>
  <c r="Q213" i="1"/>
  <c r="Q205" i="1"/>
  <c r="Q197" i="1"/>
  <c r="Q189" i="1"/>
  <c r="Q181" i="1"/>
  <c r="Q173" i="1"/>
  <c r="Q241" i="1"/>
  <c r="Q237" i="1"/>
  <c r="Q233" i="1"/>
  <c r="Q270" i="1"/>
  <c r="Q266" i="1"/>
  <c r="Q262" i="1"/>
  <c r="Q258" i="1"/>
  <c r="Q254" i="1"/>
  <c r="Q250" i="1"/>
  <c r="Q246" i="1"/>
  <c r="Q24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L121" i="1" a="1"/>
  <c r="L121" i="1" s="1"/>
  <c r="Q121" i="1" s="1"/>
  <c r="L120" i="1" a="1"/>
  <c r="L120" i="1" s="1"/>
  <c r="Q120" i="1" s="1"/>
  <c r="L119" i="1" a="1"/>
  <c r="L119" i="1" s="1"/>
  <c r="Q119" i="1" s="1"/>
  <c r="L118" i="1" a="1"/>
  <c r="L118" i="1" s="1"/>
  <c r="Q118" i="1" s="1"/>
  <c r="L117" i="1" a="1"/>
  <c r="L117" i="1" s="1"/>
  <c r="Q117" i="1" s="1"/>
  <c r="L116" i="1" a="1"/>
  <c r="L116" i="1" s="1"/>
  <c r="Q116" i="1" s="1"/>
  <c r="L115" i="1" a="1"/>
  <c r="L115" i="1" s="1"/>
  <c r="Q115" i="1" s="1"/>
  <c r="L114" i="1" a="1"/>
  <c r="L114" i="1" s="1"/>
  <c r="Q114" i="1" s="1"/>
  <c r="L113" i="1" a="1"/>
  <c r="L113" i="1" s="1"/>
  <c r="Q113" i="1" s="1"/>
  <c r="L112" i="1" a="1"/>
  <c r="L112" i="1" s="1"/>
  <c r="Q112" i="1" s="1"/>
  <c r="L111" i="1" a="1"/>
  <c r="L111" i="1" s="1"/>
  <c r="Q111" i="1" s="1"/>
  <c r="L110" i="1" a="1"/>
  <c r="L110" i="1" s="1"/>
  <c r="Q110" i="1" s="1"/>
  <c r="L109" i="1" a="1"/>
  <c r="L109" i="1" s="1"/>
  <c r="Q109" i="1" s="1"/>
  <c r="L108" i="1" a="1"/>
  <c r="L108" i="1" s="1"/>
  <c r="Q108" i="1" s="1"/>
  <c r="L107" i="1" a="1"/>
  <c r="L107" i="1" s="1"/>
  <c r="Q107" i="1" s="1"/>
  <c r="L106" i="1" a="1"/>
  <c r="L106" i="1" s="1"/>
  <c r="Q106" i="1" s="1"/>
  <c r="L105" i="1" a="1"/>
  <c r="L105" i="1" s="1"/>
  <c r="Q105" i="1" s="1"/>
  <c r="L104" i="1" a="1"/>
  <c r="L104" i="1" s="1"/>
  <c r="Q104" i="1" s="1"/>
  <c r="L103" i="1" a="1"/>
  <c r="L103" i="1" s="1"/>
  <c r="Q103" i="1" s="1"/>
  <c r="L102" i="1" a="1"/>
  <c r="L102" i="1" s="1"/>
  <c r="Q102" i="1" s="1"/>
  <c r="L101" i="1" a="1"/>
  <c r="L101" i="1" s="1"/>
  <c r="Q101" i="1" s="1"/>
  <c r="L100" i="1" a="1"/>
  <c r="L100" i="1" s="1"/>
  <c r="Q100" i="1" s="1"/>
  <c r="L99" i="1" a="1"/>
  <c r="L99" i="1" s="1"/>
  <c r="Q99" i="1" s="1"/>
  <c r="L98" i="1" a="1"/>
  <c r="L98" i="1" s="1"/>
  <c r="Q98" i="1" s="1"/>
  <c r="L97" i="1" a="1"/>
  <c r="L97" i="1" s="1"/>
  <c r="Q97" i="1" s="1"/>
  <c r="L96" i="1" a="1"/>
  <c r="L96" i="1" s="1"/>
  <c r="Q96" i="1" s="1"/>
  <c r="L95" i="1" a="1"/>
  <c r="L95" i="1" s="1"/>
  <c r="Q95" i="1" s="1"/>
  <c r="L94" i="1" a="1"/>
  <c r="L94" i="1" s="1"/>
  <c r="Q94" i="1" s="1"/>
  <c r="L93" i="1" a="1"/>
  <c r="L93" i="1" s="1"/>
  <c r="Q93" i="1" s="1"/>
  <c r="L92" i="1" a="1"/>
  <c r="L92" i="1" s="1"/>
  <c r="Q92" i="1" s="1"/>
  <c r="L91" i="1" a="1"/>
  <c r="L91" i="1" s="1"/>
  <c r="Q91" i="1" s="1"/>
  <c r="L90" i="1" a="1"/>
  <c r="L90" i="1" s="1"/>
  <c r="Q90" i="1" s="1"/>
  <c r="L89" i="1" a="1"/>
  <c r="L89" i="1" s="1"/>
  <c r="Q89" i="1" s="1"/>
  <c r="L88" i="1" a="1"/>
  <c r="L88" i="1" s="1"/>
  <c r="Q88" i="1" s="1"/>
  <c r="L87" i="1" a="1"/>
  <c r="L87" i="1" s="1"/>
  <c r="Q87" i="1" s="1"/>
  <c r="L86" i="1" a="1"/>
  <c r="L86" i="1" s="1"/>
  <c r="Q86" i="1" s="1"/>
  <c r="L85" i="1" a="1"/>
  <c r="L85" i="1" s="1"/>
  <c r="Q85" i="1" s="1"/>
  <c r="L84" i="1" a="1"/>
  <c r="L84" i="1" s="1"/>
  <c r="Q84" i="1" s="1"/>
  <c r="L83" i="1" a="1"/>
  <c r="L83" i="1" s="1"/>
  <c r="Q83" i="1" s="1"/>
  <c r="L82" i="1" a="1"/>
  <c r="L82" i="1" s="1"/>
  <c r="Q82" i="1" s="1"/>
  <c r="L81" i="1" a="1"/>
  <c r="L81" i="1" s="1"/>
  <c r="Q81" i="1" s="1"/>
  <c r="L80" i="1" a="1"/>
  <c r="L80" i="1" s="1"/>
  <c r="Q80" i="1" s="1"/>
  <c r="L79" i="1" a="1"/>
  <c r="L79" i="1" s="1"/>
  <c r="Q79" i="1" s="1"/>
  <c r="L78" i="1" a="1"/>
  <c r="L78" i="1" s="1"/>
  <c r="Q78" i="1" s="1"/>
  <c r="L77" i="1" a="1"/>
  <c r="L77" i="1" s="1"/>
  <c r="Q77" i="1" s="1"/>
  <c r="L76" i="1" a="1"/>
  <c r="L76" i="1" s="1"/>
  <c r="Q76" i="1" s="1"/>
  <c r="L75" i="1" a="1"/>
  <c r="L75" i="1" s="1"/>
  <c r="Q75" i="1" s="1"/>
  <c r="L74" i="1" a="1"/>
  <c r="L74" i="1" s="1"/>
  <c r="Q74" i="1" s="1"/>
  <c r="L73" i="1" a="1"/>
  <c r="L73" i="1" s="1"/>
  <c r="Q73" i="1" s="1"/>
  <c r="L72" i="1" a="1"/>
  <c r="L72" i="1" s="1"/>
  <c r="Q72" i="1" s="1"/>
  <c r="L71" i="1" a="1"/>
  <c r="L71" i="1" s="1"/>
  <c r="Q71" i="1" s="1"/>
  <c r="L70" i="1" a="1"/>
  <c r="L70" i="1" s="1"/>
  <c r="Q70" i="1" s="1"/>
  <c r="L69" i="1" a="1"/>
  <c r="L69" i="1" s="1"/>
  <c r="Q69" i="1" s="1"/>
  <c r="L68" i="1" a="1"/>
  <c r="L68" i="1" s="1"/>
  <c r="Q68" i="1" s="1"/>
  <c r="L67" i="1" a="1"/>
  <c r="L67" i="1" s="1"/>
  <c r="Q67" i="1" s="1"/>
  <c r="L66" i="1" a="1"/>
  <c r="L66" i="1" s="1"/>
  <c r="Q66" i="1" s="1"/>
  <c r="L65" i="1" a="1"/>
  <c r="L65" i="1" s="1"/>
  <c r="Q65" i="1" s="1"/>
  <c r="L64" i="1" a="1"/>
  <c r="L64" i="1" s="1"/>
  <c r="Q64" i="1" s="1"/>
  <c r="L63" i="1" a="1"/>
  <c r="L63" i="1" s="1"/>
  <c r="Q63" i="1" s="1"/>
  <c r="L62" i="1" a="1"/>
  <c r="L62" i="1" s="1"/>
  <c r="Q62" i="1" s="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P2" i="1"/>
  <c r="O2" i="1"/>
  <c r="L2" i="1" a="1"/>
  <c r="L2" i="1" s="1"/>
  <c r="K2" i="1"/>
  <c r="M2" i="1"/>
  <c r="N2" i="1"/>
  <c r="Q26" i="1" l="1"/>
  <c r="Q12" i="1"/>
  <c r="Q58" i="1"/>
  <c r="Q42" i="1"/>
  <c r="Q28" i="1"/>
  <c r="Q10" i="1"/>
  <c r="Q4" i="1"/>
  <c r="Q2" i="1"/>
  <c r="Q52" i="1"/>
  <c r="Q61" i="1"/>
  <c r="Q55" i="1"/>
  <c r="Q49" i="1"/>
  <c r="Q45" i="1"/>
  <c r="Q38" i="1"/>
  <c r="Q35" i="1"/>
  <c r="Q32" i="1"/>
  <c r="Q22" i="1"/>
  <c r="Q19" i="1"/>
  <c r="Q16" i="1"/>
  <c r="Q7" i="1"/>
  <c r="Q60" i="1"/>
  <c r="Q54" i="1"/>
  <c r="Q51" i="1"/>
  <c r="Q48" i="1"/>
  <c r="Q44" i="1"/>
  <c r="Q41" i="1"/>
  <c r="Q37" i="1"/>
  <c r="Q34" i="1"/>
  <c r="Q31" i="1"/>
  <c r="Q25" i="1"/>
  <c r="Q21" i="1"/>
  <c r="Q18" i="1"/>
  <c r="Q15" i="1"/>
  <c r="Q9" i="1"/>
  <c r="Q6" i="1"/>
  <c r="Q57" i="1"/>
  <c r="Q53" i="1"/>
  <c r="Q50" i="1"/>
  <c r="Q47" i="1"/>
  <c r="Q43" i="1"/>
  <c r="Q40" i="1"/>
  <c r="Q36" i="1"/>
  <c r="Q30" i="1"/>
  <c r="Q27" i="1"/>
  <c r="Q24" i="1"/>
  <c r="Q20" i="1"/>
  <c r="Q14" i="1"/>
  <c r="Q11" i="1"/>
  <c r="Q8" i="1"/>
  <c r="Q3" i="1"/>
  <c r="Q59" i="1"/>
  <c r="Q56" i="1"/>
  <c r="Q46" i="1"/>
  <c r="Q39" i="1"/>
  <c r="Q33" i="1"/>
  <c r="Q29" i="1"/>
  <c r="Q23" i="1"/>
  <c r="Q17" i="1"/>
  <c r="Q13" i="1"/>
  <c r="Q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<sst xmlns="http://schemas.openxmlformats.org/spreadsheetml/2006/main" count="1941" uniqueCount="287">
  <si>
    <t>TransactionID</t>
  </si>
  <si>
    <t>Date</t>
  </si>
  <si>
    <t>EntryTime</t>
  </si>
  <si>
    <t>ExitTime</t>
  </si>
  <si>
    <t>VehicleType</t>
  </si>
  <si>
    <t>TollClass</t>
  </si>
  <si>
    <t>PaymentMethod</t>
  </si>
  <si>
    <t>Highway</t>
  </si>
  <si>
    <t>EntryPoint</t>
  </si>
  <si>
    <t>ExitPoint</t>
  </si>
  <si>
    <t>Car</t>
  </si>
  <si>
    <t>Class 1</t>
  </si>
  <si>
    <t>RFID</t>
  </si>
  <si>
    <t>LPT</t>
  </si>
  <si>
    <t>TnG</t>
  </si>
  <si>
    <t>Lorry</t>
  </si>
  <si>
    <t>SmartTAG</t>
  </si>
  <si>
    <t>Bus</t>
  </si>
  <si>
    <t>Class 4</t>
  </si>
  <si>
    <t>Gombak Toll Plaza</t>
  </si>
  <si>
    <t>Gambang Toll Plaza</t>
  </si>
  <si>
    <t>Temerloh Toll Plaza</t>
  </si>
  <si>
    <t>Bentong Toll Plaza</t>
  </si>
  <si>
    <t>Class 2/3</t>
  </si>
  <si>
    <t>Karak Toll Plaza</t>
  </si>
  <si>
    <t>Distance</t>
  </si>
  <si>
    <t>Month</t>
  </si>
  <si>
    <t>TravelDuration(Minutes)</t>
  </si>
  <si>
    <t>PeakHours</t>
  </si>
  <si>
    <t>DayType</t>
  </si>
  <si>
    <t>HourofDay</t>
  </si>
  <si>
    <t>Count of TransactionID</t>
  </si>
  <si>
    <t>Row Labels</t>
  </si>
  <si>
    <t>Grand Total</t>
  </si>
  <si>
    <t>AverageSpeed</t>
  </si>
  <si>
    <t>C2024000001</t>
  </si>
  <si>
    <t>L2024000002</t>
  </si>
  <si>
    <t>C2024000003</t>
  </si>
  <si>
    <t>B2024000004</t>
  </si>
  <si>
    <t>C2024000005</t>
  </si>
  <si>
    <t>B2024000006</t>
  </si>
  <si>
    <t>C2024000007</t>
  </si>
  <si>
    <t>L2024000008</t>
  </si>
  <si>
    <t>C2024000009</t>
  </si>
  <si>
    <t>B2024000010</t>
  </si>
  <si>
    <t>C2024000011</t>
  </si>
  <si>
    <t>L2024000012</t>
  </si>
  <si>
    <t>B2024000013</t>
  </si>
  <si>
    <t>C2024000014</t>
  </si>
  <si>
    <t>C2024000015</t>
  </si>
  <si>
    <t>L2024000016</t>
  </si>
  <si>
    <t>B2024000017</t>
  </si>
  <si>
    <t>C2024000018</t>
  </si>
  <si>
    <t>L2024000019</t>
  </si>
  <si>
    <t>C2024000020</t>
  </si>
  <si>
    <t>C2024000021</t>
  </si>
  <si>
    <t>B2024000022</t>
  </si>
  <si>
    <t>C2024000023</t>
  </si>
  <si>
    <t>L2024000024</t>
  </si>
  <si>
    <t>C2024000025</t>
  </si>
  <si>
    <t>B2024000026</t>
  </si>
  <si>
    <t>C2024000027</t>
  </si>
  <si>
    <t>L2024000028</t>
  </si>
  <si>
    <t>C2024000029</t>
  </si>
  <si>
    <t>B2024000030</t>
  </si>
  <si>
    <t>C2024000031</t>
  </si>
  <si>
    <t>L2024000032</t>
  </si>
  <si>
    <t>B2024000033</t>
  </si>
  <si>
    <t>C2024000034</t>
  </si>
  <si>
    <t>C2024000035</t>
  </si>
  <si>
    <t>L2024000036</t>
  </si>
  <si>
    <t>B2024000037</t>
  </si>
  <si>
    <t>C2024000038</t>
  </si>
  <si>
    <t>L2024000039</t>
  </si>
  <si>
    <t>C2024000040</t>
  </si>
  <si>
    <t>C2024000041</t>
  </si>
  <si>
    <t>L2024000042</t>
  </si>
  <si>
    <t>B2024000043</t>
  </si>
  <si>
    <t>C2024000044</t>
  </si>
  <si>
    <t>C2024000045</t>
  </si>
  <si>
    <t>L2024000046</t>
  </si>
  <si>
    <t>B2024000047</t>
  </si>
  <si>
    <t>C2024000048</t>
  </si>
  <si>
    <t>L2024000049</t>
  </si>
  <si>
    <t>C2024000050</t>
  </si>
  <si>
    <t>B2024000051</t>
  </si>
  <si>
    <t>C2024000052</t>
  </si>
  <si>
    <t>L2024000053</t>
  </si>
  <si>
    <t>C2024000054</t>
  </si>
  <si>
    <t>B2024000055</t>
  </si>
  <si>
    <t>C2024000056</t>
  </si>
  <si>
    <t>L2024000057</t>
  </si>
  <si>
    <t>B2024000058</t>
  </si>
  <si>
    <t>C2024000059</t>
  </si>
  <si>
    <t>L2024000060</t>
  </si>
  <si>
    <t>C2024000061</t>
  </si>
  <si>
    <t>B2024000062</t>
  </si>
  <si>
    <t>C2024000063</t>
  </si>
  <si>
    <t>L2024000064</t>
  </si>
  <si>
    <t>C2024000065</t>
  </si>
  <si>
    <t>B2024000066</t>
  </si>
  <si>
    <t>C2024000067</t>
  </si>
  <si>
    <t>L2024000068</t>
  </si>
  <si>
    <t>C2024000069</t>
  </si>
  <si>
    <t>B2024000070</t>
  </si>
  <si>
    <t>C2024000071</t>
  </si>
  <si>
    <t>L2024000072</t>
  </si>
  <si>
    <t>C2024000073</t>
  </si>
  <si>
    <t>B2024000074</t>
  </si>
  <si>
    <t>C2024000075</t>
  </si>
  <si>
    <t>L2024000076</t>
  </si>
  <si>
    <t>C2024000077</t>
  </si>
  <si>
    <t>B2024000078</t>
  </si>
  <si>
    <t>C2024000079</t>
  </si>
  <si>
    <t>L2024000080</t>
  </si>
  <si>
    <t>C2024000081</t>
  </si>
  <si>
    <t>B2024000082</t>
  </si>
  <si>
    <t>C2024000083</t>
  </si>
  <si>
    <t>L2024000084</t>
  </si>
  <si>
    <t>C2024000085</t>
  </si>
  <si>
    <t>B2024000086</t>
  </si>
  <si>
    <t>C2024000087</t>
  </si>
  <si>
    <t>L2024000088</t>
  </si>
  <si>
    <t>C2024000089</t>
  </si>
  <si>
    <t>B2024000090</t>
  </si>
  <si>
    <t>C2024000091</t>
  </si>
  <si>
    <t>L2024000092</t>
  </si>
  <si>
    <t>C2024000093</t>
  </si>
  <si>
    <t>B2024000094</t>
  </si>
  <si>
    <t>C2024000095</t>
  </si>
  <si>
    <t>L2024000096</t>
  </si>
  <si>
    <t>C2024000097</t>
  </si>
  <si>
    <t>B2024000098</t>
  </si>
  <si>
    <t>C2024000099</t>
  </si>
  <si>
    <t>L2024000100</t>
  </si>
  <si>
    <t>Objective : Analyze traffic leaving Gombal Toll Plaza via the Lebuhraya Pantai Timur (LPT)</t>
  </si>
  <si>
    <t>LPT Highway - Gombak Outbound Traffic &amp; Congestion Analysis for Year 2024</t>
  </si>
  <si>
    <t>Trips</t>
  </si>
  <si>
    <t>AvgDuration</t>
  </si>
  <si>
    <t>AvgSpeed</t>
  </si>
  <si>
    <t>PytMethod</t>
  </si>
  <si>
    <t>Total Outbound Trips</t>
  </si>
  <si>
    <t>Average Travel Duration (Minutes)</t>
  </si>
  <si>
    <t>Average Speed (KM/H)</t>
  </si>
  <si>
    <t>Payment Method Preferred</t>
  </si>
  <si>
    <t>Type of Vehicle Used</t>
  </si>
  <si>
    <t>Objective</t>
  </si>
  <si>
    <t>Scope</t>
  </si>
  <si>
    <t>Methodology</t>
  </si>
  <si>
    <t>Key Metrics</t>
  </si>
  <si>
    <t>About Project</t>
  </si>
  <si>
    <t>: Objective: Analyze outbound traffic patterns from Gombak Toll Plaza to identify congestion trends, vehicle distribution, and payment method preferences.</t>
  </si>
  <si>
    <t>: Data Collection: Simulated toll transactions with realistic travel patterns. Analysis using Pivot Tables, Charts, and Slicers</t>
  </si>
  <si>
    <t>: Key Metrics: Traffic volume, travel duration, average speed, vehicle distribution</t>
  </si>
  <si>
    <t>Business Impact</t>
  </si>
  <si>
    <t>: Enables toll operators to optimize staff allocation during peak hours, plan maintenance during low-traffic periods, understand customer payment preferences and identify congestion bottlenecks</t>
  </si>
  <si>
    <t>C2024000101</t>
  </si>
  <si>
    <t>B2024000102</t>
  </si>
  <si>
    <t>L2024000103</t>
  </si>
  <si>
    <t>C2024000104</t>
  </si>
  <si>
    <t>C2024000105</t>
  </si>
  <si>
    <t>B2024000106</t>
  </si>
  <si>
    <t>L2024000107</t>
  </si>
  <si>
    <t>C2024000108</t>
  </si>
  <si>
    <t>C2024000109</t>
  </si>
  <si>
    <t>B2024000110</t>
  </si>
  <si>
    <t>C2024000111</t>
  </si>
  <si>
    <t>L2024000112</t>
  </si>
  <si>
    <t>C2024000113</t>
  </si>
  <si>
    <t>B2024000114</t>
  </si>
  <si>
    <t>C2024000115</t>
  </si>
  <si>
    <t>L2024000116</t>
  </si>
  <si>
    <t>C2024000117</t>
  </si>
  <si>
    <t>B2024000118</t>
  </si>
  <si>
    <t>C2024000119</t>
  </si>
  <si>
    <t>L2024000120</t>
  </si>
  <si>
    <t>C2024000121</t>
  </si>
  <si>
    <t>B2024000122</t>
  </si>
  <si>
    <t>C2024000123</t>
  </si>
  <si>
    <t>L2024000124</t>
  </si>
  <si>
    <t>C2024000125</t>
  </si>
  <si>
    <t>B2024000126</t>
  </si>
  <si>
    <t>C2024000127</t>
  </si>
  <si>
    <t>L2024000128</t>
  </si>
  <si>
    <t>C2024000129</t>
  </si>
  <si>
    <t>B2024000130</t>
  </si>
  <si>
    <t>C2024000131</t>
  </si>
  <si>
    <t>L2024000132</t>
  </si>
  <si>
    <t>C2024000133</t>
  </si>
  <si>
    <t>B2024000134</t>
  </si>
  <si>
    <t>C2024000135</t>
  </si>
  <si>
    <t>L2024000136</t>
  </si>
  <si>
    <t>C2024000137</t>
  </si>
  <si>
    <t>B2024000138</t>
  </si>
  <si>
    <t>C2024000139</t>
  </si>
  <si>
    <t>L2024000140</t>
  </si>
  <si>
    <t>C2024000141</t>
  </si>
  <si>
    <t>B2024000142</t>
  </si>
  <si>
    <t>C2024000143</t>
  </si>
  <si>
    <t>L2024000144</t>
  </si>
  <si>
    <t>C2024000145</t>
  </si>
  <si>
    <t>B2024000146</t>
  </si>
  <si>
    <t>C2024000147</t>
  </si>
  <si>
    <t>L2024000148</t>
  </si>
  <si>
    <t>C2024000149</t>
  </si>
  <si>
    <t>B2024000150</t>
  </si>
  <si>
    <t>C2024000151</t>
  </si>
  <si>
    <t>B2024000152</t>
  </si>
  <si>
    <t>L2024000153</t>
  </si>
  <si>
    <t>C2024000154</t>
  </si>
  <si>
    <t>C2024000155</t>
  </si>
  <si>
    <t>B2024000156</t>
  </si>
  <si>
    <t>C2024000157</t>
  </si>
  <si>
    <t>L2024000158</t>
  </si>
  <si>
    <t>C2024000159</t>
  </si>
  <si>
    <t>B2024000160</t>
  </si>
  <si>
    <t>C2024000161</t>
  </si>
  <si>
    <t>L2024000162</t>
  </si>
  <si>
    <t>C2024000163</t>
  </si>
  <si>
    <t>B2024000164</t>
  </si>
  <si>
    <t>C2024000165</t>
  </si>
  <si>
    <t>L2024000166</t>
  </si>
  <si>
    <t>C2024000167</t>
  </si>
  <si>
    <t>B2024000168</t>
  </si>
  <si>
    <t>C2024000169</t>
  </si>
  <si>
    <t>L2024000170</t>
  </si>
  <si>
    <t>C2024000171</t>
  </si>
  <si>
    <t>B2024000172</t>
  </si>
  <si>
    <t>C2024000173</t>
  </si>
  <si>
    <t>L2024000174</t>
  </si>
  <si>
    <t>C2024000175</t>
  </si>
  <si>
    <t>B2024000176</t>
  </si>
  <si>
    <t>C2024000177</t>
  </si>
  <si>
    <t>L2024000178</t>
  </si>
  <si>
    <t>C2024000179</t>
  </si>
  <si>
    <t>B2024000180</t>
  </si>
  <si>
    <t>C2024000181</t>
  </si>
  <si>
    <t>L2024000182</t>
  </si>
  <si>
    <t>C2024000183</t>
  </si>
  <si>
    <t>B2024000184</t>
  </si>
  <si>
    <t>C2024000185</t>
  </si>
  <si>
    <t>L2024000186</t>
  </si>
  <si>
    <t>C2024000187</t>
  </si>
  <si>
    <t>B2024000188</t>
  </si>
  <si>
    <t>C2024000189</t>
  </si>
  <si>
    <t>L2024000190</t>
  </si>
  <si>
    <t>C2024000191</t>
  </si>
  <si>
    <t>B2024000192</t>
  </si>
  <si>
    <t>C2024000193</t>
  </si>
  <si>
    <t>L2024000194</t>
  </si>
  <si>
    <t>C2024000195</t>
  </si>
  <si>
    <t>B2024000196</t>
  </si>
  <si>
    <t>C2024000197</t>
  </si>
  <si>
    <t>L2024000198</t>
  </si>
  <si>
    <t>C2024000199</t>
  </si>
  <si>
    <t>B2024000200</t>
  </si>
  <si>
    <t>C2024000201</t>
  </si>
  <si>
    <t>B2024000202</t>
  </si>
  <si>
    <t>L2024000203</t>
  </si>
  <si>
    <t>C2024000204</t>
  </si>
  <si>
    <t>C2024000205</t>
  </si>
  <si>
    <t>B2024000206</t>
  </si>
  <si>
    <t>C2024000207</t>
  </si>
  <si>
    <t>L2024000208</t>
  </si>
  <si>
    <t>C2024000209</t>
  </si>
  <si>
    <t>B2024000210</t>
  </si>
  <si>
    <t>C2024000211</t>
  </si>
  <si>
    <t>L2024000212</t>
  </si>
  <si>
    <t>C2024000213</t>
  </si>
  <si>
    <t>B2024000214</t>
  </si>
  <si>
    <t>C2024000215</t>
  </si>
  <si>
    <t>L2024000216</t>
  </si>
  <si>
    <t>C2024000217</t>
  </si>
  <si>
    <t>B2024000218</t>
  </si>
  <si>
    <t>C2024000219</t>
  </si>
  <si>
    <t>L2024000220</t>
  </si>
  <si>
    <t>C2024000221</t>
  </si>
  <si>
    <t>B2024000222</t>
  </si>
  <si>
    <t>C2024000223</t>
  </si>
  <si>
    <t>L2024000224</t>
  </si>
  <si>
    <t>C2024000225</t>
  </si>
  <si>
    <t>B2024000226</t>
  </si>
  <si>
    <t>C2024000227</t>
  </si>
  <si>
    <t>L2024000228</t>
  </si>
  <si>
    <t>C2024000229</t>
  </si>
  <si>
    <t>B2024000230</t>
  </si>
  <si>
    <t>: 270 simulated transactions covering January-December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</si>
</sst>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7" x14ac:knownFonts="1">
    <font>
      <sz val="11"/>
      <color theme="1"/>
      <name val="Aptos Narrow"/>
      <family val="2"/>
      <scheme val="minor"/>
    </font>
    <font>
      <sz val="11"/>
      <color theme="1"/>
      <name val="Calibri"/>
      <family val="2"/>
    </font>
    <font>
      <b/>
      <sz val="11"/>
      <color theme="1"/>
      <name val="Calibri"/>
      <family val="2"/>
    </font>
    <font>
      <sz val="12"/>
      <color theme="1"/>
      <name val="Calibri"/>
      <family val="2"/>
    </font>
    <font>
      <b/>
      <sz val="12"/>
      <color theme="1"/>
      <name val="Calibri"/>
      <family val="2"/>
    </font>
    <font>
      <b/>
      <sz val="28"/>
      <color theme="1"/>
      <name val="Calibri"/>
      <family val="2"/>
    </font>
    <font>
      <b/>
      <sz val="14"/>
      <color theme="1"/>
      <name val="Calibri"/>
      <family val="2"/>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1">
    <xf numFmtId="0" fontId="0" fillId="0" borderId="0" xfId="0"/>
    <xf numFmtId="0" fontId="1" fillId="0" borderId="0" xfId="0" applyFont="1"/>
    <xf numFmtId="1" fontId="0" fillId="0" borderId="0" xfId="0" applyNumberFormat="1"/>
    <xf numFmtId="164" fontId="0" fillId="0" borderId="0" xfId="0" applyNumberFormat="1"/>
    <xf numFmtId="0" fontId="1" fillId="0" borderId="0" xfId="0" applyFont="1" applyAlignment="1">
      <alignment horizontal="center" vertical="center"/>
    </xf>
    <xf numFmtId="164" fontId="1" fillId="0" borderId="0" xfId="0" applyNumberFormat="1" applyFont="1" applyAlignment="1">
      <alignment horizontal="center" vertical="center"/>
    </xf>
    <xf numFmtId="1" fontId="0" fillId="0" borderId="0" xfId="0" applyNumberFormat="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0" xfId="0" applyFont="1"/>
    <xf numFmtId="14" fontId="1" fillId="0" borderId="0" xfId="0" applyNumberFormat="1" applyFont="1" applyAlignment="1">
      <alignment horizontal="center" vertical="center"/>
    </xf>
    <xf numFmtId="1" fontId="1" fillId="0" borderId="0" xfId="0" applyNumberFormat="1" applyFont="1" applyAlignment="1">
      <alignment horizontal="center" vertical="center"/>
    </xf>
    <xf numFmtId="0" fontId="0" fillId="0" borderId="0" xfId="0" applyAlignment="1">
      <alignment horizontal="center"/>
    </xf>
    <xf numFmtId="0" fontId="1" fillId="2" borderId="0" xfId="0" applyFont="1" applyFill="1"/>
    <xf numFmtId="14" fontId="0" fillId="0" borderId="0" xfId="0" applyNumberFormat="1" applyAlignment="1">
      <alignment horizontal="center"/>
    </xf>
    <xf numFmtId="164" fontId="0" fillId="0" borderId="0" xfId="0" applyNumberFormat="1" applyAlignment="1">
      <alignment horizontal="center"/>
    </xf>
    <xf numFmtId="0" fontId="0" fillId="0" borderId="0" xfId="0" applyNumberFormat="1"/>
    <xf numFmtId="0" fontId="3" fillId="2" borderId="0" xfId="0" applyFont="1" applyFill="1" applyAlignment="1">
      <alignment horizontal="center" vertical="center"/>
    </xf>
    <xf numFmtId="0" fontId="5" fillId="2" borderId="0" xfId="0" applyFont="1" applyFill="1" applyAlignment="1">
      <alignment horizontal="center" vertical="center"/>
    </xf>
    <xf numFmtId="0" fontId="1" fillId="2" borderId="0" xfId="0" applyFont="1" applyFill="1" applyAlignment="1"/>
    <xf numFmtId="0" fontId="1" fillId="3" borderId="0" xfId="0" applyFont="1" applyFill="1" applyAlignment="1">
      <alignment horizontal="center"/>
    </xf>
    <xf numFmtId="0" fontId="5" fillId="3" borderId="0" xfId="0" applyFont="1" applyFill="1" applyAlignment="1">
      <alignment horizontal="center"/>
    </xf>
    <xf numFmtId="0" fontId="6" fillId="4" borderId="1" xfId="0" applyFont="1" applyFill="1" applyBorder="1" applyAlignment="1">
      <alignment horizontal="center"/>
    </xf>
    <xf numFmtId="0" fontId="6" fillId="4" borderId="2" xfId="0" applyFont="1" applyFill="1" applyBorder="1" applyAlignment="1">
      <alignment horizontal="center"/>
    </xf>
    <xf numFmtId="0" fontId="6" fillId="4" borderId="3" xfId="0" applyFont="1" applyFill="1" applyBorder="1" applyAlignment="1">
      <alignment horizontal="center"/>
    </xf>
    <xf numFmtId="0" fontId="1" fillId="4" borderId="4" xfId="0" applyFont="1" applyFill="1" applyBorder="1"/>
    <xf numFmtId="0" fontId="1" fillId="4" borderId="0" xfId="0" applyFont="1" applyFill="1" applyBorder="1"/>
    <xf numFmtId="0" fontId="1" fillId="4" borderId="5" xfId="0" applyFont="1" applyFill="1" applyBorder="1"/>
    <xf numFmtId="0" fontId="1" fillId="4" borderId="6" xfId="0" applyFont="1" applyFill="1" applyBorder="1"/>
    <xf numFmtId="0" fontId="1" fillId="4" borderId="7" xfId="0" applyFont="1" applyFill="1" applyBorder="1"/>
    <xf numFmtId="0" fontId="1" fillId="4" borderId="8" xfId="0" applyFont="1" applyFill="1" applyBorder="1"/>
    <xf numFmtId="0" fontId="6" fillId="5" borderId="0" xfId="0" applyFont="1" applyFill="1" applyAlignment="1">
      <alignment horizontal="center" vertical="center"/>
    </xf>
    <xf numFmtId="0" fontId="1" fillId="5" borderId="0" xfId="0" applyFont="1" applyFill="1"/>
    <xf numFmtId="0" fontId="2" fillId="2" borderId="0" xfId="0" applyFont="1" applyFill="1"/>
    <xf numFmtId="0" fontId="1" fillId="2" borderId="0" xfId="0" applyFont="1" applyFill="1" applyAlignment="1">
      <alignment horizontal="left" wrapText="1"/>
    </xf>
    <xf numFmtId="0" fontId="1" fillId="2" borderId="0" xfId="0" applyFont="1" applyFill="1" applyAlignment="1">
      <alignment wrapText="1"/>
    </xf>
    <xf numFmtId="0" fontId="1" fillId="2" borderId="0" xfId="0" applyFont="1" applyFill="1" applyAlignment="1">
      <alignment horizontal="left"/>
    </xf>
    <xf numFmtId="0" fontId="4" fillId="3" borderId="0" xfId="0" applyFont="1" applyFill="1" applyAlignment="1">
      <alignment horizontal="center"/>
    </xf>
    <xf numFmtId="21" fontId="0" fillId="0" borderId="0" xfId="0" applyNumberFormat="1" applyAlignment="1">
      <alignment horizontal="center"/>
    </xf>
    <xf numFmtId="1" fontId="5" fillId="3" borderId="0" xfId="0" applyNumberFormat="1" applyFont="1" applyFill="1" applyAlignment="1">
      <alignment horizontal="center"/>
    </xf>
  </cellXfs>
  <cellStyles count="1">
    <cellStyle name="Normal" xfId="0" builtinId="0"/>
  </cellStyles>
  <dxfs count="19">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19" formatCode="d/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[LPT Highway - Gombak Outbound Traffic &amp; Congestion Analysis.xlsx]Analysis!PivotTable13</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8100" tIns="72000" rIns="36000" bIns="7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Analysis!$G$1</c:f>
              <c:strCache>
                <c:ptCount val="1"/>
                <c:pt idx="0">
                  <c:v>Total</c:v>
                </c:pt>
              </c:strCache>
            </c:strRef>
          </c:tx>
          <c:explosion val="10"/>
          <c:dPt>
            <c:idx val="0"/>
            <c:bubble3D val="0"/>
            <c:explosion val="3"/>
            <c:spPr>
              <a:solidFill>
                <a:schemeClr val="accent1"/>
              </a:solidFill>
              <a:ln w="19050">
                <a:solidFill>
                  <a:schemeClr val="lt1"/>
                </a:solidFill>
              </a:ln>
              <a:effectLst/>
            </c:spPr>
            <c:extLst>
              <c:ext xmlns:c16="http://schemas.microsoft.com/office/drawing/2014/chart" uri="{C3380CC4-5D6E-409C-BE32-E72D297353CC}">
                <c16:uniqueId val="{00000001-885D-4725-8B84-8F4316112F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5D-4725-8B84-8F4316112FA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5D-4725-8B84-8F4316112FA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none" lIns="38100" tIns="72000" rIns="36000" bIns="72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Analysis!$F$2:$F$5</c:f>
              <c:strCache>
                <c:ptCount val="3"/>
                <c:pt idx="0">
                  <c:v>Bus</c:v>
                </c:pt>
                <c:pt idx="1">
                  <c:v>Car</c:v>
                </c:pt>
                <c:pt idx="2">
                  <c:v>Lorry</c:v>
                </c:pt>
              </c:strCache>
            </c:strRef>
          </c:cat>
          <c:val>
            <c:numRef>
              <c:f>Analysis!$G$2:$G$5</c:f>
              <c:numCache>
                <c:formatCode>General</c:formatCode>
                <c:ptCount val="3"/>
                <c:pt idx="0">
                  <c:v>69</c:v>
                </c:pt>
                <c:pt idx="1">
                  <c:v>134</c:v>
                </c:pt>
                <c:pt idx="2">
                  <c:v>67</c:v>
                </c:pt>
              </c:numCache>
            </c:numRef>
          </c:val>
          <c:extLst>
            <c:ext xmlns:c16="http://schemas.microsoft.com/office/drawing/2014/chart" uri="{C3380CC4-5D6E-409C-BE32-E72D297353CC}">
              <c16:uniqueId val="{00000006-885D-4725-8B84-8F4316112FA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[LPT Highway - Gombak Outbound Traffic &amp; Congestion Analysis.xlsx]Analysis!PivotTable12</c:name>
    <c:fmtId val="1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Analysis!$J$1</c:f>
              <c:strCache>
                <c:ptCount val="1"/>
                <c:pt idx="0">
                  <c:v>Total</c:v>
                </c:pt>
              </c:strCache>
            </c:strRef>
          </c:tx>
          <c:spPr>
            <a:solidFill>
              <a:schemeClr val="accent2">
                <a:lumMod val="75000"/>
              </a:schemeClr>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Analysis!$I$2:$I$5</c:f>
              <c:strCache>
                <c:ptCount val="3"/>
                <c:pt idx="0">
                  <c:v>RFID</c:v>
                </c:pt>
                <c:pt idx="1">
                  <c:v>SmartTAG</c:v>
                </c:pt>
                <c:pt idx="2">
                  <c:v>TnG</c:v>
                </c:pt>
              </c:strCache>
            </c:strRef>
          </c:cat>
          <c:val>
            <c:numRef>
              <c:f>Analysis!$J$2:$J$5</c:f>
              <c:numCache>
                <c:formatCode>General</c:formatCode>
                <c:ptCount val="3"/>
                <c:pt idx="0">
                  <c:v>71</c:v>
                </c:pt>
                <c:pt idx="1">
                  <c:v>105</c:v>
                </c:pt>
                <c:pt idx="2">
                  <c:v>94</c:v>
                </c:pt>
              </c:numCache>
            </c:numRef>
          </c:val>
          <c:extLst>
            <c:ext xmlns:c16="http://schemas.microsoft.com/office/drawing/2014/chart" uri="{C3380CC4-5D6E-409C-BE32-E72D297353CC}">
              <c16:uniqueId val="{00000000-572B-46A2-930E-D458663653D7}"/>
            </c:ext>
          </c:extLst>
        </c:ser>
        <c:dLbls>
          <c:showLegendKey val="0"/>
          <c:showVal val="0"/>
          <c:showCatName val="0"/>
          <c:showSerName val="0"/>
          <c:showPercent val="0"/>
          <c:showBubbleSize val="0"/>
        </c:dLbls>
        <c:gapWidth val="150"/>
        <c:shape val="box"/>
        <c:axId val="210910352"/>
        <c:axId val="210921392"/>
        <c:axId val="0"/>
      </c:bar3DChart>
      <c:catAx>
        <c:axId val="210910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21392"/>
        <c:crosses val="autoZero"/>
        <c:auto val="1"/>
        <c:lblAlgn val="ctr"/>
        <c:lblOffset val="100"/>
        <c:noMultiLvlLbl val="0"/>
      </c:catAx>
      <c:valAx>
        <c:axId val="21092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1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122465</xdr:colOff>
      <xdr:row>6</xdr:row>
      <xdr:rowOff>27216</xdr:rowOff>
    </xdr:from>
    <xdr:to>
      <xdr:col>7</xdr:col>
      <xdr:colOff>176894</xdr:colOff>
      <xdr:row>24</xdr:row>
      <xdr:rowOff>163286</xdr:rowOff>
    </xdr:to>
    <xdr:graphicFrame macro="">
      <xdr:nvGraphicFramePr>
        <xdr:cNvPr id="6" name="Chart 5">
          <a:extLst>
            <a:ext uri="{FF2B5EF4-FFF2-40B4-BE49-F238E27FC236}">
              <a16:creationId xmlns:a16="http://schemas.microsoft.com/office/drawing/2014/main" id="{EA140939-3AF4-4268-B83A-A3A65AD11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152401</xdr:colOff>
      <xdr:row>25</xdr:row>
      <xdr:rowOff>25853</xdr:rowOff>
    </xdr:from>
    <xdr:to>
      <xdr:col>7</xdr:col>
      <xdr:colOff>176893</xdr:colOff>
      <xdr:row>28</xdr:row>
      <xdr:rowOff>108857</xdr:rowOff>
    </xdr:to>
    <mc:AlternateContent xmlns:mc="http://schemas.openxmlformats.org/markup-compatibility/2006">
      <mc:Choice xmlns:a14="http://schemas.microsoft.com/office/drawing/2010/main" Requires="a14">
        <xdr:graphicFrame macro="">
          <xdr:nvGraphicFramePr>
            <xdr:cNvPr id="7" name="VehicleType">
              <a:extLst>
                <a:ext uri="{FF2B5EF4-FFF2-40B4-BE49-F238E27FC236}">
                  <a16:creationId xmlns:a16="http://schemas.microsoft.com/office/drawing/2014/main" id="{4C7D6986-C5E3-D485-5D6F-9DD0F1BC78FF}"/>
                </a:ext>
              </a:extLst>
            </xdr:cNvPr>
            <xdr:cNvGraphicFramePr/>
          </xdr:nvGraphicFramePr>
          <xdr:xfrm>
            <a:off x="0" y="0"/>
            <a:ext cx="0" cy="0"/>
          </xdr:xfrm>
          <a:graphic>
            <a:graphicData uri="http://schemas.microsoft.com/office/drawing/2010/slicer">
              <sle:slicer xmlns:sle="http://schemas.microsoft.com/office/drawing/2010/slicer" name="VehicleType"/>
            </a:graphicData>
          </a:graphic>
        </xdr:graphicFrame>
      </mc:Choice>
      <mc:Fallback>
        <xdr:sp macro="" textlink="">
          <xdr:nvSpPr>
            <xdr:cNvPr id="0" name=""/>
            <xdr:cNvSpPr>
              <a:spLocks noTextEdit="1"/>
            </xdr:cNvSpPr>
          </xdr:nvSpPr>
          <xdr:spPr>
            <a:xfrm>
              <a:off x="421342" y="5471912"/>
              <a:ext cx="4193080" cy="65450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329293</xdr:colOff>
      <xdr:row>5</xdr:row>
      <xdr:rowOff>234043</xdr:rowOff>
    </xdr:from>
    <xdr:to>
      <xdr:col>9</xdr:col>
      <xdr:colOff>729343</xdr:colOff>
      <xdr:row>28</xdr:row>
      <xdr:rowOff>122465</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8D1E41D3-D377-7880-1289-BFF9835B18A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766822" y="1825278"/>
              <a:ext cx="1811992" cy="431474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68035</xdr:colOff>
      <xdr:row>6</xdr:row>
      <xdr:rowOff>13608</xdr:rowOff>
    </xdr:from>
    <xdr:to>
      <xdr:col>20</xdr:col>
      <xdr:colOff>503463</xdr:colOff>
      <xdr:row>24</xdr:row>
      <xdr:rowOff>81643</xdr:rowOff>
    </xdr:to>
    <xdr:graphicFrame macro="">
      <xdr:nvGraphicFramePr>
        <xdr:cNvPr id="9" name="Chart 8">
          <a:extLst>
            <a:ext uri="{FF2B5EF4-FFF2-40B4-BE49-F238E27FC236}">
              <a16:creationId xmlns:a16="http://schemas.microsoft.com/office/drawing/2014/main" id="{AA178BCF-EDA5-4125-929D-1DA4F7704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91166</xdr:colOff>
      <xdr:row>24</xdr:row>
      <xdr:rowOff>149680</xdr:rowOff>
    </xdr:from>
    <xdr:to>
      <xdr:col>20</xdr:col>
      <xdr:colOff>481852</xdr:colOff>
      <xdr:row>28</xdr:row>
      <xdr:rowOff>100694</xdr:rowOff>
    </xdr:to>
    <mc:AlternateContent xmlns:mc="http://schemas.openxmlformats.org/markup-compatibility/2006">
      <mc:Choice xmlns:a14="http://schemas.microsoft.com/office/drawing/2010/main" Requires="a14">
        <xdr:graphicFrame macro="">
          <xdr:nvGraphicFramePr>
            <xdr:cNvPr id="10" name="Month 1">
              <a:extLst>
                <a:ext uri="{FF2B5EF4-FFF2-40B4-BE49-F238E27FC236}">
                  <a16:creationId xmlns:a16="http://schemas.microsoft.com/office/drawing/2014/main" id="{97C67CCE-1467-C013-325C-FC2D5DF8AF2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150872" y="5405239"/>
              <a:ext cx="6206539" cy="71301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zyjml" refreshedDate="45991.610892013887" createdVersion="8" refreshedVersion="8" minRefreshableVersion="3" recordCount="270" xr:uid="{91A4E7CF-CA6A-4E88-9911-6277A05180C4}">
  <cacheSource type="worksheet">
    <worksheetSource name="Table3"/>
  </cacheSource>
  <cacheFields count="17">
    <cacheField name="TransactionID" numFmtId="0">
      <sharedItems/>
    </cacheField>
    <cacheField name="Date" numFmtId="14">
      <sharedItems containsSemiMixedTypes="0" containsNonDate="0" containsDate="1" containsString="0" minDate="2024-01-01T00:00:00" maxDate="2024-12-31T00:00:00"/>
    </cacheField>
    <cacheField name="EntryTime" numFmtId="164">
      <sharedItems containsSemiMixedTypes="0" containsNonDate="0" containsDate="1" containsString="0" minDate="1899-12-30T01:12:45" maxDate="1899-12-30T19:15:12"/>
    </cacheField>
    <cacheField name="ExitTime" numFmtId="0">
      <sharedItems containsSemiMixedTypes="0" containsDate="1" containsString="0" containsMixedTypes="1" minDate="1899-12-30T02:03:45" maxDate="1899-12-30T00:00:00"/>
    </cacheField>
    <cacheField name="VehicleType" numFmtId="0">
      <sharedItems containsBlank="1" count="4">
        <s v="Car"/>
        <s v="Lorry"/>
        <s v="Bus"/>
        <m u="1"/>
      </sharedItems>
    </cacheField>
    <cacheField name="TollClass" numFmtId="0">
      <sharedItems/>
    </cacheField>
    <cacheField name="PaymentMethod" numFmtId="0">
      <sharedItems containsBlank="1" count="4">
        <s v="SmartTAG"/>
        <s v="RFID"/>
        <s v="TnG"/>
        <m u="1"/>
      </sharedItems>
    </cacheField>
    <cacheField name="Highway" numFmtId="0">
      <sharedItems/>
    </cacheField>
    <cacheField name="EntryPoint" numFmtId="0">
      <sharedItems/>
    </cacheField>
    <cacheField name="ExitPoint" numFmtId="0">
      <sharedItems/>
    </cacheField>
    <cacheField name="TravelDuration(Minutes)" numFmtId="1">
      <sharedItems containsSemiMixedTypes="0" containsString="0" containsNumber="1" minValue="39.999999999999979" maxValue="144.99999999999997"/>
    </cacheField>
    <cacheField name="Distance" numFmtId="0">
      <sharedItems/>
    </cacheField>
    <cacheField name="PeakHours" numFmtId="0">
      <sharedItems/>
    </cacheField>
    <cacheField name="DayType" numFmtId="0">
      <sharedItems/>
    </cacheField>
    <cacheField name="HourofDay" numFmtId="0">
      <sharedItems containsSemiMixedTypes="0" containsString="0" containsNumber="1" containsInteger="1" minValue="1" maxValue="19"/>
    </cacheField>
    <cacheField name="Month" numFmtId="0">
      <sharedItems containsBlank="1" count="13">
        <s v="Jan"/>
        <s v="Feb"/>
        <s v="Mar"/>
        <s v="Apr"/>
        <s v="May"/>
        <s v="Jun"/>
        <s v="Jul"/>
        <s v="Aug"/>
        <s v="Sep"/>
        <s v="Oct"/>
        <s v="Nov"/>
        <s v="Dec"/>
        <m u="1"/>
      </sharedItems>
    </cacheField>
    <cacheField name="AverageSpeed" numFmtId="1">
      <sharedItems containsSemiMixedTypes="0" containsString="0" containsNumber="1" minValue="44.444444444444443" maxValue="100.0000000000001"/>
    </cacheField>
  </cacheFields>
  <extLst>
    <ext xmlns:x14="http://schemas.microsoft.com/office/spreadsheetml/2009/9/main" uri="{725AE2AE-9491-48be-B2B4-4EB974FC3084}">
      <x14:pivotCacheDefinition pivotCacheId="11786620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
  <r>
    <s v="C2024000001"/>
    <d v="2024-01-01T00:00:00"/>
    <d v="1899-12-30T01:12:45"/>
    <d v="1899-12-30T02:03:45"/>
    <x v="0"/>
    <s v="Class 1"/>
    <x v="0"/>
    <s v="LPT"/>
    <s v="Gombak Toll Plaza"/>
    <s v="Karak Toll Plaza"/>
    <n v="51"/>
    <s v="Short (0-50km)"/>
    <s v="Off-Peak"/>
    <s v="Weekday"/>
    <n v="1"/>
    <x v="0"/>
    <n v="58.82352941176471"/>
  </r>
  <r>
    <s v="L2024000002"/>
    <d v="2024-01-01T00:00:00"/>
    <d v="1899-12-30T07:35:12"/>
    <d v="1899-12-30T09:50:12"/>
    <x v="1"/>
    <s v="Class 2/3"/>
    <x v="1"/>
    <s v="LPT"/>
    <s v="Gombak Toll Plaza"/>
    <s v="Temerloh Toll Plaza"/>
    <n v="135"/>
    <s v="Medium (50-100km)"/>
    <s v="Peak"/>
    <s v="Weekday"/>
    <n v="7"/>
    <x v="0"/>
    <n v="44.444444444444443"/>
  </r>
  <r>
    <s v="C2024000003"/>
    <d v="2024-01-01T00:00:00"/>
    <d v="1899-12-30T16:20:05"/>
    <d v="1899-12-30T17:15:05"/>
    <x v="0"/>
    <s v="Class 1"/>
    <x v="2"/>
    <s v="LPT"/>
    <s v="Gombak Toll Plaza"/>
    <s v="Bentong Toll Plaza"/>
    <n v="55.000000000000128"/>
    <s v="Short (0-50km)"/>
    <s v="Off-Peak"/>
    <s v="Weekday"/>
    <n v="16"/>
    <x v="0"/>
    <n v="54.545454545454419"/>
  </r>
  <r>
    <s v="B2024000004"/>
    <d v="2024-01-01T00:00:00"/>
    <d v="1899-12-30T04:50:33"/>
    <d v="1899-12-30T06:50:33"/>
    <x v="2"/>
    <s v="Class 4"/>
    <x v="0"/>
    <s v="LPT"/>
    <s v="Gombak Toll Plaza"/>
    <s v="Gambang Toll Plaza"/>
    <n v="119.99999999999997"/>
    <s v="Long (100-200km)"/>
    <s v="Off-Peak"/>
    <s v="Weekday"/>
    <n v="4"/>
    <x v="0"/>
    <n v="100.00000000000003"/>
  </r>
  <r>
    <s v="C2024000005"/>
    <d v="2024-01-01T00:00:00"/>
    <d v="1899-12-30T19:15:12"/>
    <d v="1899-12-30T20:02:12"/>
    <x v="0"/>
    <s v="Class 1"/>
    <x v="1"/>
    <s v="LPT"/>
    <s v="Gombak Toll Plaza"/>
    <s v="Karak Toll Plaza"/>
    <n v="47.000000000000156"/>
    <s v="Short (0-50km)"/>
    <s v="Off-Peak"/>
    <s v="Weekday"/>
    <n v="19"/>
    <x v="0"/>
    <n v="63.829787234042335"/>
  </r>
  <r>
    <s v="B2024000006"/>
    <d v="2024-01-01T00:00:00"/>
    <d v="1899-12-30T11:05:50"/>
    <d v="1899-12-30T12:50:50"/>
    <x v="2"/>
    <s v="Class 4"/>
    <x v="0"/>
    <s v="LPT"/>
    <s v="Gombak Toll Plaza"/>
    <s v="Temerloh Toll Plaza"/>
    <n v="105.00000000000003"/>
    <s v="Medium (50-100km)"/>
    <s v="Off-Peak"/>
    <s v="Weekday"/>
    <n v="11"/>
    <x v="0"/>
    <n v="57.142857142857132"/>
  </r>
  <r>
    <s v="C2024000007"/>
    <d v="2024-01-01T00:00:00"/>
    <d v="1899-12-30T08:22:14"/>
    <d v="1899-12-30T09:02:14"/>
    <x v="0"/>
    <s v="Class 1"/>
    <x v="2"/>
    <s v="LPT"/>
    <s v="Gombak Toll Plaza"/>
    <s v="Bentong Toll Plaza"/>
    <n v="40.000000000000014"/>
    <s v="Short (0-50km)"/>
    <s v="Peak"/>
    <s v="Weekday"/>
    <n v="8"/>
    <x v="0"/>
    <n v="74.999999999999986"/>
  </r>
  <r>
    <s v="L2024000008"/>
    <d v="2024-01-01T00:00:00"/>
    <d v="1899-12-30T13:30:40"/>
    <d v="1899-12-30T15:55:40"/>
    <x v="1"/>
    <s v="Class 2/3"/>
    <x v="1"/>
    <s v="LPT"/>
    <s v="Gombak Toll Plaza"/>
    <s v="Gambang Toll Plaza"/>
    <n v="144.99999999999997"/>
    <s v="Long (100-200km)"/>
    <s v="Off-Peak"/>
    <s v="Weekday"/>
    <n v="13"/>
    <x v="0"/>
    <n v="82.758620689655189"/>
  </r>
  <r>
    <s v="C2024000009"/>
    <d v="2024-01-01T00:00:00"/>
    <d v="1899-12-30T05:42:21"/>
    <d v="1899-12-30T06:28:21"/>
    <x v="0"/>
    <s v="Class 1"/>
    <x v="0"/>
    <s v="LPT"/>
    <s v="Gombak Toll Plaza"/>
    <s v="Karak Toll Plaza"/>
    <n v="46.000000000000036"/>
    <s v="Short (0-50km)"/>
    <s v="Off-Peak"/>
    <s v="Weekday"/>
    <n v="5"/>
    <x v="0"/>
    <n v="65.217391304347771"/>
  </r>
  <r>
    <s v="B2024000010"/>
    <d v="2024-01-01T00:00:00"/>
    <d v="1899-12-30T15:00:10"/>
    <d v="1899-12-30T16:50:10"/>
    <x v="2"/>
    <s v="Class 4"/>
    <x v="2"/>
    <s v="LPT"/>
    <s v="Gombak Toll Plaza"/>
    <s v="Temerloh Toll Plaza"/>
    <n v="110.00000000000009"/>
    <s v="Medium (50-100km)"/>
    <s v="Off-Peak"/>
    <s v="Weekday"/>
    <n v="15"/>
    <x v="0"/>
    <n v="54.545454545454504"/>
  </r>
  <r>
    <s v="C2024000011"/>
    <d v="2024-01-01T00:00:00"/>
    <d v="1899-12-30T06:05:22"/>
    <d v="1899-12-30T06:45:22"/>
    <x v="0"/>
    <s v="Class 1"/>
    <x v="1"/>
    <s v="LPT"/>
    <s v="Gombak Toll Plaza"/>
    <s v="Bentong Toll Plaza"/>
    <n v="40.000000000000014"/>
    <s v="Short (0-50km)"/>
    <s v="Off-Peak"/>
    <s v="Weekday"/>
    <n v="6"/>
    <x v="0"/>
    <n v="74.999999999999986"/>
  </r>
  <r>
    <s v="L2024000012"/>
    <d v="2024-01-01T00:00:00"/>
    <d v="1899-12-30T17:12:33"/>
    <d v="1899-12-30T19:22:33"/>
    <x v="1"/>
    <s v="Class 2/3"/>
    <x v="0"/>
    <s v="LPT"/>
    <s v="Gombak Toll Plaza"/>
    <s v="Gambang Toll Plaza"/>
    <n v="130.00000000000003"/>
    <s v="Long (100-200km)"/>
    <s v="Peak"/>
    <s v="Weekday"/>
    <n v="17"/>
    <x v="0"/>
    <n v="92.307692307692292"/>
  </r>
  <r>
    <s v="B2024000013"/>
    <d v="2024-01-01T00:00:00"/>
    <d v="1899-12-30T09:40:15"/>
    <d v="1899-12-30T11:40:15"/>
    <x v="2"/>
    <s v="Class 4"/>
    <x v="1"/>
    <s v="LPT"/>
    <s v="Gombak Toll Plaza"/>
    <s v="Temerloh Toll Plaza"/>
    <n v="120.00000000000006"/>
    <s v="Medium (50-100km)"/>
    <s v="Off-Peak"/>
    <s v="Weekday"/>
    <n v="9"/>
    <x v="0"/>
    <n v="49.999999999999979"/>
  </r>
  <r>
    <s v="C2024000014"/>
    <d v="2024-01-01T00:00:00"/>
    <d v="1899-12-30T14:50:20"/>
    <d v="1899-12-30T15:30:20"/>
    <x v="0"/>
    <s v="Class 1"/>
    <x v="2"/>
    <s v="LPT"/>
    <s v="Gombak Toll Plaza"/>
    <s v="Bentong Toll Plaza"/>
    <n v="40.000000000000014"/>
    <s v="Short (0-50km)"/>
    <s v="Off-Peak"/>
    <s v="Weekday"/>
    <n v="14"/>
    <x v="0"/>
    <n v="74.999999999999986"/>
  </r>
  <r>
    <s v="C2024000015"/>
    <d v="2024-01-01T00:00:00"/>
    <d v="1899-12-30T10:20:40"/>
    <d v="1899-12-30T11:20:40"/>
    <x v="0"/>
    <s v="Class 1"/>
    <x v="0"/>
    <s v="LPT"/>
    <s v="Gombak Toll Plaza"/>
    <s v="Karak Toll Plaza"/>
    <n v="60.000000000000028"/>
    <s v="Short (0-50km)"/>
    <s v="Off-Peak"/>
    <s v="Weekday"/>
    <n v="10"/>
    <x v="0"/>
    <n v="49.999999999999979"/>
  </r>
  <r>
    <s v="L2024000016"/>
    <d v="2024-01-01T00:00:00"/>
    <d v="1899-12-30T08:12:12"/>
    <d v="1899-12-30T10:27:12"/>
    <x v="1"/>
    <s v="Class 2/3"/>
    <x v="1"/>
    <s v="LPT"/>
    <s v="Gombak Toll Plaza"/>
    <s v="Temerloh Toll Plaza"/>
    <n v="135"/>
    <s v="Medium (50-100km)"/>
    <s v="Peak"/>
    <s v="Weekday"/>
    <n v="8"/>
    <x v="0"/>
    <n v="44.444444444444443"/>
  </r>
  <r>
    <s v="B2024000017"/>
    <d v="2024-01-01T00:00:00"/>
    <d v="1899-12-30T12:30:10"/>
    <d v="1899-12-30T14:30:10"/>
    <x v="2"/>
    <s v="Class 4"/>
    <x v="0"/>
    <s v="LPT"/>
    <s v="Gombak Toll Plaza"/>
    <s v="Gambang Toll Plaza"/>
    <n v="120.00000000000006"/>
    <s v="Long (100-200km)"/>
    <s v="Off-Peak"/>
    <s v="Weekday"/>
    <n v="12"/>
    <x v="0"/>
    <n v="99.999999999999957"/>
  </r>
  <r>
    <s v="C2024000018"/>
    <d v="2024-01-01T00:00:00"/>
    <d v="1899-12-30T16:05:50"/>
    <d v="1899-12-30T16:50:50"/>
    <x v="0"/>
    <s v="Class 1"/>
    <x v="2"/>
    <s v="LPT"/>
    <s v="Gombak Toll Plaza"/>
    <s v="Bentong Toll Plaza"/>
    <n v="45"/>
    <s v="Short (0-50km)"/>
    <s v="Off-Peak"/>
    <s v="Weekday"/>
    <n v="16"/>
    <x v="0"/>
    <n v="66.666666666666671"/>
  </r>
  <r>
    <s v="L2024000019"/>
    <d v="2024-01-01T00:00:00"/>
    <d v="1899-12-30T18:25:12"/>
    <d v="1899-12-30T20:25:12"/>
    <x v="1"/>
    <s v="Class 2/3"/>
    <x v="1"/>
    <s v="LPT"/>
    <s v="Gombak Toll Plaza"/>
    <s v="Temerloh Toll Plaza"/>
    <n v="120.00000000000006"/>
    <s v="Medium (50-100km)"/>
    <s v="Peak"/>
    <s v="Weekday"/>
    <n v="18"/>
    <x v="0"/>
    <n v="49.999999999999979"/>
  </r>
  <r>
    <s v="C2024000020"/>
    <d v="2024-01-01T00:00:00"/>
    <d v="1899-12-30T07:15:30"/>
    <d v="1899-12-30T08:00:30"/>
    <x v="0"/>
    <s v="Class 1"/>
    <x v="0"/>
    <s v="LPT"/>
    <s v="Gombak Toll Plaza"/>
    <s v="Karak Toll Plaza"/>
    <n v="45"/>
    <s v="Short (0-50km)"/>
    <s v="Peak"/>
    <s v="Weekday"/>
    <n v="7"/>
    <x v="0"/>
    <n v="66.666666666666671"/>
  </r>
  <r>
    <s v="C2024000001"/>
    <d v="2024-01-01T00:00:00"/>
    <d v="1899-12-30T01:12:45"/>
    <d v="1899-12-30T02:03:45"/>
    <x v="0"/>
    <s v="Class 1"/>
    <x v="0"/>
    <s v="LPT"/>
    <s v="Gombak Toll Plaza"/>
    <s v="Karak Toll Plaza"/>
    <n v="51"/>
    <s v="Short (0-50km)"/>
    <s v="Off-Peak"/>
    <s v="Weekday"/>
    <n v="1"/>
    <x v="0"/>
    <n v="58.82352941176471"/>
  </r>
  <r>
    <s v="L2024000002"/>
    <d v="2024-01-01T00:00:00"/>
    <d v="1899-12-30T07:35:12"/>
    <d v="1899-12-30T09:50:12"/>
    <x v="1"/>
    <s v="Class 2/3"/>
    <x v="1"/>
    <s v="LPT"/>
    <s v="Gombak Toll Plaza"/>
    <s v="Temerloh Toll Plaza"/>
    <n v="135"/>
    <s v="Medium (50-100km)"/>
    <s v="Peak"/>
    <s v="Weekday"/>
    <n v="7"/>
    <x v="0"/>
    <n v="44.444444444444443"/>
  </r>
  <r>
    <s v="C2024000003"/>
    <d v="2024-01-01T00:00:00"/>
    <d v="1899-12-30T16:20:05"/>
    <d v="1899-12-30T17:15:05"/>
    <x v="0"/>
    <s v="Class 1"/>
    <x v="2"/>
    <s v="LPT"/>
    <s v="Gombak Toll Plaza"/>
    <s v="Bentong Toll Plaza"/>
    <n v="55.000000000000128"/>
    <s v="Short (0-50km)"/>
    <s v="Off-Peak"/>
    <s v="Weekday"/>
    <n v="16"/>
    <x v="0"/>
    <n v="54.545454545454419"/>
  </r>
  <r>
    <s v="B2024000004"/>
    <d v="2024-01-01T00:00:00"/>
    <d v="1899-12-30T04:50:33"/>
    <d v="1899-12-30T06:50:33"/>
    <x v="2"/>
    <s v="Class 4"/>
    <x v="0"/>
    <s v="LPT"/>
    <s v="Gombak Toll Plaza"/>
    <s v="Gambang Toll Plaza"/>
    <n v="119.99999999999997"/>
    <s v="Long (100-200km)"/>
    <s v="Off-Peak"/>
    <s v="Weekday"/>
    <n v="4"/>
    <x v="0"/>
    <n v="100.00000000000003"/>
  </r>
  <r>
    <s v="C2024000005"/>
    <d v="2024-01-01T00:00:00"/>
    <d v="1899-12-30T19:15:12"/>
    <d v="1899-12-30T20:02:12"/>
    <x v="0"/>
    <s v="Class 1"/>
    <x v="1"/>
    <s v="LPT"/>
    <s v="Gombak Toll Plaza"/>
    <s v="Karak Toll Plaza"/>
    <n v="47.000000000000156"/>
    <s v="Short (0-50km)"/>
    <s v="Off-Peak"/>
    <s v="Weekday"/>
    <n v="19"/>
    <x v="0"/>
    <n v="63.829787234042335"/>
  </r>
  <r>
    <s v="B2024000006"/>
    <d v="2024-01-01T00:00:00"/>
    <d v="1899-12-30T11:05:50"/>
    <d v="1899-12-30T12:50:50"/>
    <x v="2"/>
    <s v="Class 4"/>
    <x v="0"/>
    <s v="LPT"/>
    <s v="Gombak Toll Plaza"/>
    <s v="Temerloh Toll Plaza"/>
    <n v="105.00000000000003"/>
    <s v="Medium (50-100km)"/>
    <s v="Off-Peak"/>
    <s v="Weekday"/>
    <n v="11"/>
    <x v="0"/>
    <n v="57.142857142857132"/>
  </r>
  <r>
    <s v="C2024000007"/>
    <d v="2024-01-01T00:00:00"/>
    <d v="1899-12-30T08:22:14"/>
    <d v="1899-12-30T09:02:14"/>
    <x v="0"/>
    <s v="Class 1"/>
    <x v="2"/>
    <s v="LPT"/>
    <s v="Gombak Toll Plaza"/>
    <s v="Bentong Toll Plaza"/>
    <n v="40.000000000000014"/>
    <s v="Short (0-50km)"/>
    <s v="Peak"/>
    <s v="Weekday"/>
    <n v="8"/>
    <x v="0"/>
    <n v="74.999999999999986"/>
  </r>
  <r>
    <s v="L2024000008"/>
    <d v="2024-01-01T00:00:00"/>
    <d v="1899-12-30T13:30:40"/>
    <d v="1899-12-30T15:55:40"/>
    <x v="1"/>
    <s v="Class 2/3"/>
    <x v="1"/>
    <s v="LPT"/>
    <s v="Gombak Toll Plaza"/>
    <s v="Gambang Toll Plaza"/>
    <n v="144.99999999999997"/>
    <s v="Long (100-200km)"/>
    <s v="Off-Peak"/>
    <s v="Weekday"/>
    <n v="13"/>
    <x v="0"/>
    <n v="82.758620689655189"/>
  </r>
  <r>
    <s v="C2024000009"/>
    <d v="2024-01-01T00:00:00"/>
    <d v="1899-12-30T05:42:21"/>
    <d v="1899-12-30T06:28:21"/>
    <x v="0"/>
    <s v="Class 1"/>
    <x v="0"/>
    <s v="LPT"/>
    <s v="Gombak Toll Plaza"/>
    <s v="Karak Toll Plaza"/>
    <n v="46.000000000000036"/>
    <s v="Short (0-50km)"/>
    <s v="Off-Peak"/>
    <s v="Weekday"/>
    <n v="5"/>
    <x v="0"/>
    <n v="65.217391304347771"/>
  </r>
  <r>
    <s v="B2024000010"/>
    <d v="2024-01-01T00:00:00"/>
    <d v="1899-12-30T15:00:10"/>
    <d v="1899-12-30T16:50:10"/>
    <x v="2"/>
    <s v="Class 4"/>
    <x v="2"/>
    <s v="LPT"/>
    <s v="Gombak Toll Plaza"/>
    <s v="Temerloh Toll Plaza"/>
    <n v="110.00000000000009"/>
    <s v="Medium (50-100km)"/>
    <s v="Off-Peak"/>
    <s v="Weekday"/>
    <n v="15"/>
    <x v="0"/>
    <n v="54.545454545454504"/>
  </r>
  <r>
    <s v="C2024000011"/>
    <d v="2024-01-01T00:00:00"/>
    <d v="1899-12-30T06:05:22"/>
    <d v="1899-12-30T06:45:22"/>
    <x v="0"/>
    <s v="Class 1"/>
    <x v="1"/>
    <s v="LPT"/>
    <s v="Gombak Toll Plaza"/>
    <s v="Bentong Toll Plaza"/>
    <n v="40.000000000000014"/>
    <s v="Short (0-50km)"/>
    <s v="Off-Peak"/>
    <s v="Weekday"/>
    <n v="6"/>
    <x v="0"/>
    <n v="74.999999999999986"/>
  </r>
  <r>
    <s v="L2024000012"/>
    <d v="2024-01-01T00:00:00"/>
    <d v="1899-12-30T17:12:33"/>
    <d v="1899-12-30T19:22:33"/>
    <x v="1"/>
    <s v="Class 2/3"/>
    <x v="0"/>
    <s v="LPT"/>
    <s v="Gombak Toll Plaza"/>
    <s v="Gambang Toll Plaza"/>
    <n v="130.00000000000003"/>
    <s v="Long (100-200km)"/>
    <s v="Peak"/>
    <s v="Weekday"/>
    <n v="17"/>
    <x v="0"/>
    <n v="92.307692307692292"/>
  </r>
  <r>
    <s v="B2024000013"/>
    <d v="2024-01-01T00:00:00"/>
    <d v="1899-12-30T09:40:15"/>
    <d v="1899-12-30T11:40:15"/>
    <x v="2"/>
    <s v="Class 4"/>
    <x v="1"/>
    <s v="LPT"/>
    <s v="Gombak Toll Plaza"/>
    <s v="Temerloh Toll Plaza"/>
    <n v="120.00000000000006"/>
    <s v="Medium (50-100km)"/>
    <s v="Off-Peak"/>
    <s v="Weekday"/>
    <n v="9"/>
    <x v="0"/>
    <n v="49.999999999999979"/>
  </r>
  <r>
    <s v="C2024000014"/>
    <d v="2024-01-01T00:00:00"/>
    <d v="1899-12-30T14:50:20"/>
    <d v="1899-12-30T15:30:20"/>
    <x v="0"/>
    <s v="Class 1"/>
    <x v="2"/>
    <s v="LPT"/>
    <s v="Gombak Toll Plaza"/>
    <s v="Bentong Toll Plaza"/>
    <n v="40.000000000000014"/>
    <s v="Short (0-50km)"/>
    <s v="Off-Peak"/>
    <s v="Weekday"/>
    <n v="14"/>
    <x v="0"/>
    <n v="74.999999999999986"/>
  </r>
  <r>
    <s v="C2024000015"/>
    <d v="2024-01-01T00:00:00"/>
    <d v="1899-12-30T10:20:40"/>
    <d v="1899-12-30T11:20:40"/>
    <x v="0"/>
    <s v="Class 1"/>
    <x v="0"/>
    <s v="LPT"/>
    <s v="Gombak Toll Plaza"/>
    <s v="Karak Toll Plaza"/>
    <n v="60.000000000000028"/>
    <s v="Short (0-50km)"/>
    <s v="Off-Peak"/>
    <s v="Weekday"/>
    <n v="10"/>
    <x v="0"/>
    <n v="49.999999999999979"/>
  </r>
  <r>
    <s v="L2024000016"/>
    <d v="2024-01-01T00:00:00"/>
    <d v="1899-12-30T08:12:12"/>
    <d v="1899-12-30T10:27:12"/>
    <x v="1"/>
    <s v="Class 2/3"/>
    <x v="1"/>
    <s v="LPT"/>
    <s v="Gombak Toll Plaza"/>
    <s v="Temerloh Toll Plaza"/>
    <n v="135"/>
    <s v="Medium (50-100km)"/>
    <s v="Peak"/>
    <s v="Weekday"/>
    <n v="8"/>
    <x v="0"/>
    <n v="44.444444444444443"/>
  </r>
  <r>
    <s v="B2024000017"/>
    <d v="2024-01-01T00:00:00"/>
    <d v="1899-12-30T12:30:10"/>
    <d v="1899-12-30T14:30:10"/>
    <x v="2"/>
    <s v="Class 4"/>
    <x v="0"/>
    <s v="LPT"/>
    <s v="Gombak Toll Plaza"/>
    <s v="Gambang Toll Plaza"/>
    <n v="120.00000000000006"/>
    <s v="Long (100-200km)"/>
    <s v="Off-Peak"/>
    <s v="Weekday"/>
    <n v="12"/>
    <x v="0"/>
    <n v="99.999999999999957"/>
  </r>
  <r>
    <s v="C2024000018"/>
    <d v="2024-01-01T00:00:00"/>
    <d v="1899-12-30T16:05:50"/>
    <d v="1899-12-30T16:50:50"/>
    <x v="0"/>
    <s v="Class 1"/>
    <x v="2"/>
    <s v="LPT"/>
    <s v="Gombak Toll Plaza"/>
    <s v="Bentong Toll Plaza"/>
    <n v="45"/>
    <s v="Short (0-50km)"/>
    <s v="Off-Peak"/>
    <s v="Weekday"/>
    <n v="16"/>
    <x v="0"/>
    <n v="66.666666666666671"/>
  </r>
  <r>
    <s v="L2024000019"/>
    <d v="2024-01-01T00:00:00"/>
    <d v="1899-12-30T18:25:12"/>
    <d v="1899-12-30T20:25:12"/>
    <x v="1"/>
    <s v="Class 2/3"/>
    <x v="1"/>
    <s v="LPT"/>
    <s v="Gombak Toll Plaza"/>
    <s v="Temerloh Toll Plaza"/>
    <n v="120.00000000000006"/>
    <s v="Medium (50-100km)"/>
    <s v="Peak"/>
    <s v="Weekday"/>
    <n v="18"/>
    <x v="0"/>
    <n v="49.999999999999979"/>
  </r>
  <r>
    <s v="C2024000020"/>
    <d v="2024-01-01T00:00:00"/>
    <d v="1899-12-30T07:15:30"/>
    <d v="1899-12-30T08:00:30"/>
    <x v="0"/>
    <s v="Class 1"/>
    <x v="0"/>
    <s v="LPT"/>
    <s v="Gombak Toll Plaza"/>
    <s v="Karak Toll Plaza"/>
    <n v="45"/>
    <s v="Short (0-50km)"/>
    <s v="Peak"/>
    <s v="Weekday"/>
    <n v="7"/>
    <x v="0"/>
    <n v="66.666666666666671"/>
  </r>
  <r>
    <s v="C2024000021"/>
    <d v="2024-01-01T00:00:00"/>
    <d v="1899-12-30T03:50:12"/>
    <d v="1899-12-30T04:40:12"/>
    <x v="0"/>
    <s v="Class 1"/>
    <x v="0"/>
    <s v="LPT"/>
    <s v="Gombak Toll Plaza"/>
    <s v="Bentong Toll Plaza"/>
    <n v="49.999999999999986"/>
    <s v="Short (0-50km)"/>
    <s v="Off-Peak"/>
    <s v="Weekday"/>
    <n v="3"/>
    <x v="0"/>
    <n v="60.000000000000014"/>
  </r>
  <r>
    <s v="B2024000022"/>
    <d v="2024-01-01T00:00:00"/>
    <d v="1899-12-30T06:25:40"/>
    <d v="1899-12-30T08:25:40"/>
    <x v="2"/>
    <s v="Class 4"/>
    <x v="2"/>
    <s v="LPT"/>
    <s v="Gombak Toll Plaza"/>
    <s v="Temerloh Toll Plaza"/>
    <n v="120.00000000000006"/>
    <s v="Medium (50-100km)"/>
    <s v="Off-Peak"/>
    <s v="Weekday"/>
    <n v="6"/>
    <x v="0"/>
    <n v="49.999999999999979"/>
  </r>
  <r>
    <s v="C2024000023"/>
    <d v="2024-01-01T00:00:00"/>
    <d v="1899-12-30T12:05:30"/>
    <d v="1899-12-30T12:50:30"/>
    <x v="0"/>
    <s v="Class 1"/>
    <x v="1"/>
    <s v="LPT"/>
    <s v="Gombak Toll Plaza"/>
    <s v="Karak Toll Plaza"/>
    <n v="45"/>
    <s v="Short (0-50km)"/>
    <s v="Off-Peak"/>
    <s v="Weekday"/>
    <n v="12"/>
    <x v="0"/>
    <n v="66.666666666666671"/>
  </r>
  <r>
    <s v="L2024000024"/>
    <d v="2024-01-01T00:00:00"/>
    <d v="1899-12-30T14:12:22"/>
    <d v="1899-12-30T16:22:22"/>
    <x v="1"/>
    <s v="Class 2/3"/>
    <x v="0"/>
    <s v="LPT"/>
    <s v="Gombak Toll Plaza"/>
    <s v="Gambang Toll Plaza"/>
    <n v="130.00000000000003"/>
    <s v="Long (100-200km)"/>
    <s v="Off-Peak"/>
    <s v="Weekday"/>
    <n v="14"/>
    <x v="0"/>
    <n v="92.307692307692292"/>
  </r>
  <r>
    <s v="C2024000025"/>
    <d v="2024-01-01T00:00:00"/>
    <d v="1899-12-30T09:30:10"/>
    <d v="1899-12-30T10:15:10"/>
    <x v="0"/>
    <s v="Class 1"/>
    <x v="2"/>
    <s v="LPT"/>
    <s v="Gombak Toll Plaza"/>
    <s v="Bentong Toll Plaza"/>
    <n v="45"/>
    <s v="Short (0-50km)"/>
    <s v="Off-Peak"/>
    <s v="Weekday"/>
    <n v="9"/>
    <x v="0"/>
    <n v="66.666666666666671"/>
  </r>
  <r>
    <s v="B2024000026"/>
    <d v="2024-01-01T00:00:00"/>
    <d v="1899-12-30T07:45:50"/>
    <d v="1899-12-30T09:45:50"/>
    <x v="2"/>
    <s v="Class 4"/>
    <x v="0"/>
    <s v="LPT"/>
    <s v="Gombak Toll Plaza"/>
    <s v="Temerloh Toll Plaza"/>
    <n v="120.00000000000006"/>
    <s v="Medium (50-100km)"/>
    <s v="Peak"/>
    <s v="Weekday"/>
    <n v="7"/>
    <x v="0"/>
    <n v="49.999999999999979"/>
  </r>
  <r>
    <s v="C2024000027"/>
    <d v="2024-01-01T00:00:00"/>
    <d v="1899-12-30T05:12:33"/>
    <d v="1899-12-30T06:12:33"/>
    <x v="0"/>
    <s v="Class 1"/>
    <x v="0"/>
    <s v="LPT"/>
    <s v="Gombak Toll Plaza"/>
    <s v="Karak Toll Plaza"/>
    <n v="59.999999999999943"/>
    <s v="Short (0-50km)"/>
    <s v="Off-Peak"/>
    <s v="Weekday"/>
    <n v="5"/>
    <x v="0"/>
    <n v="50.00000000000005"/>
  </r>
  <r>
    <s v="L2024000028"/>
    <d v="2024-01-01T00:00:00"/>
    <d v="1899-12-30T16:40:10"/>
    <d v="1899-12-30T18:40:10"/>
    <x v="1"/>
    <s v="Class 2/3"/>
    <x v="1"/>
    <s v="LPT"/>
    <s v="Gombak Toll Plaza"/>
    <s v="Temerloh Toll Plaza"/>
    <n v="120.00000000000006"/>
    <s v="Medium (50-100km)"/>
    <s v="Off-Peak"/>
    <s v="Weekday"/>
    <n v="16"/>
    <x v="0"/>
    <n v="49.999999999999979"/>
  </r>
  <r>
    <s v="C2024000029"/>
    <d v="2024-01-01T00:00:00"/>
    <d v="1899-12-30T13:05:15"/>
    <d v="1899-12-30T13:50:15"/>
    <x v="0"/>
    <s v="Class 1"/>
    <x v="2"/>
    <s v="LPT"/>
    <s v="Gombak Toll Plaza"/>
    <s v="Bentong Toll Plaza"/>
    <n v="45"/>
    <s v="Short (0-50km)"/>
    <s v="Off-Peak"/>
    <s v="Weekday"/>
    <n v="13"/>
    <x v="0"/>
    <n v="66.666666666666671"/>
  </r>
  <r>
    <s v="B2024000030"/>
    <d v="2024-01-01T00:00:00"/>
    <d v="1899-12-30T10:10:22"/>
    <d v="1899-12-30T12:10:22"/>
    <x v="2"/>
    <s v="Class 4"/>
    <x v="0"/>
    <s v="LPT"/>
    <s v="Gombak Toll Plaza"/>
    <s v="Gambang Toll Plaza"/>
    <n v="119.99999999999997"/>
    <s v="Long (100-200km)"/>
    <s v="Off-Peak"/>
    <s v="Weekday"/>
    <n v="10"/>
    <x v="0"/>
    <n v="100.00000000000003"/>
  </r>
  <r>
    <s v="C2024000031"/>
    <d v="2024-01-01T00:00:00"/>
    <d v="1899-12-30T04:50:33"/>
    <d v="1899-12-30T05:35:33"/>
    <x v="0"/>
    <s v="Class 1"/>
    <x v="2"/>
    <s v="LPT"/>
    <s v="Gombak Toll Plaza"/>
    <s v="Karak Toll Plaza"/>
    <n v="45"/>
    <s v="Short (0-50km)"/>
    <s v="Off-Peak"/>
    <s v="Weekday"/>
    <n v="4"/>
    <x v="0"/>
    <n v="66.666666666666671"/>
  </r>
  <r>
    <s v="L2024000032"/>
    <d v="2024-01-01T00:00:00"/>
    <d v="1899-12-30T15:25:40"/>
    <d v="1899-12-30T17:25:40"/>
    <x v="1"/>
    <s v="Class 2/3"/>
    <x v="1"/>
    <s v="LPT"/>
    <s v="Gombak Toll Plaza"/>
    <s v="Temerloh Toll Plaza"/>
    <n v="120.00000000000006"/>
    <s v="Medium (50-100km)"/>
    <s v="Off-Peak"/>
    <s v="Weekday"/>
    <n v="15"/>
    <x v="0"/>
    <n v="49.999999999999979"/>
  </r>
  <r>
    <s v="B2024000033"/>
    <d v="2024-01-01T00:00:00"/>
    <d v="1899-12-30T08:05:12"/>
    <d v="1899-12-30T10:05:12"/>
    <x v="2"/>
    <s v="Class 4"/>
    <x v="0"/>
    <s v="LPT"/>
    <s v="Gombak Toll Plaza"/>
    <s v="Gambang Toll Plaza"/>
    <n v="119.99999999999997"/>
    <s v="Long (100-200km)"/>
    <s v="Peak"/>
    <s v="Weekday"/>
    <n v="8"/>
    <x v="0"/>
    <n v="100.00000000000003"/>
  </r>
  <r>
    <s v="C2024000034"/>
    <d v="2024-01-01T00:00:00"/>
    <d v="1899-12-30T06:50:10"/>
    <d v="1899-12-30T07:35:10"/>
    <x v="0"/>
    <s v="Class 1"/>
    <x v="2"/>
    <s v="LPT"/>
    <s v="Gombak Toll Plaza"/>
    <s v="Bentong Toll Plaza"/>
    <n v="45"/>
    <s v="Short (0-50km)"/>
    <s v="Off-Peak"/>
    <s v="Weekday"/>
    <n v="6"/>
    <x v="0"/>
    <n v="66.666666666666671"/>
  </r>
  <r>
    <s v="C2024000035"/>
    <d v="2024-01-01T00:00:00"/>
    <d v="1899-12-30T11:15:30"/>
    <d v="1899-12-30T12:00:30"/>
    <x v="0"/>
    <s v="Class 1"/>
    <x v="0"/>
    <s v="LPT"/>
    <s v="Gombak Toll Plaza"/>
    <s v="Karak Toll Plaza"/>
    <n v="45.000000000000078"/>
    <s v="Short (0-50km)"/>
    <s v="Off-Peak"/>
    <s v="Weekday"/>
    <n v="11"/>
    <x v="0"/>
    <n v="66.666666666666544"/>
  </r>
  <r>
    <s v="L2024000036"/>
    <d v="2024-01-01T00:00:00"/>
    <d v="1899-12-30T17:05:50"/>
    <d v="1899-12-30T19:05:50"/>
    <x v="1"/>
    <s v="Class 2/3"/>
    <x v="1"/>
    <s v="LPT"/>
    <s v="Gombak Toll Plaza"/>
    <s v="Gambang Toll Plaza"/>
    <n v="119.99999999999989"/>
    <s v="Long (100-200km)"/>
    <s v="Peak"/>
    <s v="Weekday"/>
    <n v="17"/>
    <x v="0"/>
    <n v="100.0000000000001"/>
  </r>
  <r>
    <s v="B2024000037"/>
    <d v="2024-01-01T00:00:00"/>
    <d v="1899-12-30T09:40:22"/>
    <d v="1899-12-30T11:40:22"/>
    <x v="2"/>
    <s v="Class 4"/>
    <x v="2"/>
    <s v="LPT"/>
    <s v="Gombak Toll Plaza"/>
    <s v="Temerloh Toll Plaza"/>
    <n v="119.99999999999997"/>
    <s v="Medium (50-100km)"/>
    <s v="Off-Peak"/>
    <s v="Weekday"/>
    <n v="9"/>
    <x v="0"/>
    <n v="50.000000000000014"/>
  </r>
  <r>
    <s v="C2024000038"/>
    <d v="2024-01-01T00:00:00"/>
    <d v="1899-12-30T07:12:10"/>
    <d v="1899-12-30T08:12:10"/>
    <x v="0"/>
    <s v="Class 1"/>
    <x v="0"/>
    <s v="LPT"/>
    <s v="Gombak Toll Plaza"/>
    <s v="Bentong Toll Plaza"/>
    <n v="59.999999999999943"/>
    <s v="Short (0-50km)"/>
    <s v="Peak"/>
    <s v="Weekday"/>
    <n v="7"/>
    <x v="0"/>
    <n v="50.00000000000005"/>
  </r>
  <r>
    <s v="L2024000039"/>
    <d v="2024-01-01T00:00:00"/>
    <d v="1899-12-30T13:25:30"/>
    <d v="1899-12-30T15:25:30"/>
    <x v="1"/>
    <s v="Class 2/3"/>
    <x v="1"/>
    <s v="LPT"/>
    <s v="Gombak Toll Plaza"/>
    <s v="Temerloh Toll Plaza"/>
    <n v="120.00000000000006"/>
    <s v="Medium (50-100km)"/>
    <s v="Off-Peak"/>
    <s v="Weekday"/>
    <n v="13"/>
    <x v="0"/>
    <n v="49.999999999999979"/>
  </r>
  <r>
    <s v="C2024000040"/>
    <d v="2024-01-01T00:00:00"/>
    <d v="1899-12-30T05:50:33"/>
    <d v="1899-12-30T06:35:33"/>
    <x v="0"/>
    <s v="Class 1"/>
    <x v="2"/>
    <s v="LPT"/>
    <s v="Gombak Toll Plaza"/>
    <s v="Karak Toll Plaza"/>
    <n v="44.999999999999957"/>
    <s v="Short (0-50km)"/>
    <s v="Off-Peak"/>
    <s v="Weekday"/>
    <n v="5"/>
    <x v="0"/>
    <n v="66.666666666666728"/>
  </r>
  <r>
    <s v="C2024000041"/>
    <d v="2024-02-05T00:00:00"/>
    <d v="1899-12-30T06:22:10"/>
    <n v="0.2966435185185185"/>
    <x v="0"/>
    <s v="Class 1"/>
    <x v="0"/>
    <s v="LPT"/>
    <s v="Gombak Toll Plaza"/>
    <s v="Bentong Toll Plaza"/>
    <n v="45"/>
    <s v="Short (0-50km)"/>
    <s v="Off-Peak"/>
    <s v="Weekday"/>
    <n v="6"/>
    <x v="1"/>
    <n v="66.666666666666671"/>
  </r>
  <r>
    <s v="L2024000042"/>
    <d v="2024-03-14T00:00:00"/>
    <d v="1899-12-30T18:05:22"/>
    <n v="0.83706018518518521"/>
    <x v="1"/>
    <s v="Class 2/3"/>
    <x v="1"/>
    <s v="LPT"/>
    <s v="Gombak Toll Plaza"/>
    <s v="Temerloh Toll Plaza"/>
    <n v="120.00000000000006"/>
    <s v="Medium (50-100km)"/>
    <s v="Peak"/>
    <s v="Weekday"/>
    <n v="18"/>
    <x v="2"/>
    <n v="49.999999999999979"/>
  </r>
  <r>
    <s v="B2024000043"/>
    <d v="2024-04-23T00:00:00"/>
    <d v="1899-12-30T07:12:45"/>
    <n v="0.38385416666666666"/>
    <x v="2"/>
    <s v="Class 4"/>
    <x v="2"/>
    <s v="LPT"/>
    <s v="Gombak Toll Plaza"/>
    <s v="Gambang Toll Plaza"/>
    <n v="119.99999999999997"/>
    <s v="Long (100-200km)"/>
    <s v="Peak"/>
    <s v="Weekday"/>
    <n v="7"/>
    <x v="3"/>
    <n v="100.00000000000003"/>
  </r>
  <r>
    <s v="C2024000044"/>
    <d v="2024-05-08T00:00:00"/>
    <d v="1899-12-30T13:45:30"/>
    <n v="0.60451388888888891"/>
    <x v="0"/>
    <s v="Class 1"/>
    <x v="0"/>
    <s v="LPT"/>
    <s v="Gombak Toll Plaza"/>
    <s v="Karak Toll Plaza"/>
    <n v="45"/>
    <s v="Short (0-50km)"/>
    <s v="Off-Peak"/>
    <s v="Weekday"/>
    <n v="13"/>
    <x v="4"/>
    <n v="66.666666666666671"/>
  </r>
  <r>
    <s v="C2024000045"/>
    <d v="2024-06-19T00:00:00"/>
    <d v="1899-12-30T10:25:10"/>
    <n v="0.46539351851851851"/>
    <x v="0"/>
    <s v="Class 1"/>
    <x v="2"/>
    <s v="LPT"/>
    <s v="Gombak Toll Plaza"/>
    <s v="Bentong Toll Plaza"/>
    <n v="45"/>
    <s v="Short (0-50km)"/>
    <s v="Off-Peak"/>
    <s v="Weekday"/>
    <n v="10"/>
    <x v="5"/>
    <n v="66.666666666666671"/>
  </r>
  <r>
    <s v="L2024000046"/>
    <d v="2024-07-28T00:00:00"/>
    <d v="1899-12-30T05:50:33"/>
    <n v="0.32677083333333334"/>
    <x v="1"/>
    <s v="Class 2/3"/>
    <x v="1"/>
    <s v="LPT"/>
    <s v="Gombak Toll Plaza"/>
    <s v="Gambang Toll Plaza"/>
    <n v="120.00000000000001"/>
    <s v="Long (100-200km)"/>
    <s v="Off-Peak"/>
    <s v="Weekend"/>
    <n v="5"/>
    <x v="6"/>
    <n v="99.999999999999972"/>
  </r>
  <r>
    <s v="B2024000047"/>
    <d v="2024-08-02T00:00:00"/>
    <d v="1899-12-30T16:05:12"/>
    <n v="0.75361111111111112"/>
    <x v="2"/>
    <s v="Class 4"/>
    <x v="0"/>
    <s v="LPT"/>
    <s v="Gombak Toll Plaza"/>
    <s v="Temerloh Toll Plaza"/>
    <n v="120.00000000000006"/>
    <s v="Medium (50-100km)"/>
    <s v="Off-Peak"/>
    <s v="Weekday"/>
    <n v="16"/>
    <x v="7"/>
    <n v="49.999999999999979"/>
  </r>
  <r>
    <s v="C2024000048"/>
    <d v="2024-09-11T00:00:00"/>
    <d v="1899-12-30T08:30:45"/>
    <n v="0.38593749999999999"/>
    <x v="0"/>
    <s v="Class 1"/>
    <x v="2"/>
    <s v="LPT"/>
    <s v="Gombak Toll Plaza"/>
    <s v="Karak Toll Plaza"/>
    <n v="45"/>
    <s v="Short (0-50km)"/>
    <s v="Peak"/>
    <s v="Weekday"/>
    <n v="8"/>
    <x v="8"/>
    <n v="66.666666666666671"/>
  </r>
  <r>
    <s v="L2024000049"/>
    <d v="2024-10-22T00:00:00"/>
    <d v="1899-12-30T14:12:22"/>
    <n v="0.67525462962962968"/>
    <x v="1"/>
    <s v="Class 2/3"/>
    <x v="1"/>
    <s v="LPT"/>
    <s v="Gombak Toll Plaza"/>
    <s v="Temerloh Toll Plaza"/>
    <n v="120.00000000000006"/>
    <s v="Medium (50-100km)"/>
    <s v="Off-Peak"/>
    <s v="Weekday"/>
    <n v="14"/>
    <x v="9"/>
    <n v="49.999999999999979"/>
  </r>
  <r>
    <s v="C2024000050"/>
    <d v="2024-11-30T00:00:00"/>
    <d v="1899-12-30T06:05:50"/>
    <n v="0.28530092592592593"/>
    <x v="0"/>
    <s v="Class 1"/>
    <x v="0"/>
    <s v="LPT"/>
    <s v="Gombak Toll Plaza"/>
    <s v="Bentong Toll Plaza"/>
    <n v="45"/>
    <s v="Short (0-50km)"/>
    <s v="Off-Peak"/>
    <s v="Weekend"/>
    <n v="6"/>
    <x v="10"/>
    <n v="66.666666666666671"/>
  </r>
  <r>
    <s v="B2024000051"/>
    <d v="2024-12-15T00:00:00"/>
    <d v="1899-12-30T09:40:10"/>
    <n v="0.48622685185185183"/>
    <x v="2"/>
    <s v="Class 4"/>
    <x v="2"/>
    <s v="LPT"/>
    <s v="Gombak Toll Plaza"/>
    <s v="Gambang Toll Plaza"/>
    <n v="119.99999999999997"/>
    <s v="Long (100-200km)"/>
    <s v="Off-Peak"/>
    <s v="Weekend"/>
    <n v="9"/>
    <x v="11"/>
    <n v="100.00000000000003"/>
  </r>
  <r>
    <s v="C2024000052"/>
    <d v="2024-01-21T00:00:00"/>
    <d v="1899-12-30T05:15:22"/>
    <n v="0.24678240740740739"/>
    <x v="0"/>
    <s v="Class 1"/>
    <x v="0"/>
    <s v="LPT"/>
    <s v="Gombak Toll Plaza"/>
    <s v="Karak Toll Plaza"/>
    <n v="39.999999999999979"/>
    <s v="Short (0-50km)"/>
    <s v="Off-Peak"/>
    <s v="Weekend"/>
    <n v="5"/>
    <x v="0"/>
    <n v="75.000000000000043"/>
  </r>
  <r>
    <s v="L2024000053"/>
    <d v="2024-02-03T00:00:00"/>
    <d v="1899-12-30T17:12:33"/>
    <n v="0.80038194444444444"/>
    <x v="1"/>
    <s v="Class 2/3"/>
    <x v="1"/>
    <s v="LPT"/>
    <s v="Gombak Toll Plaza"/>
    <s v="Temerloh Toll Plaza"/>
    <n v="120.00000000000006"/>
    <s v="Medium (50-100km)"/>
    <s v="Peak"/>
    <s v="Weekend"/>
    <n v="17"/>
    <x v="1"/>
    <n v="49.999999999999979"/>
  </r>
  <r>
    <s v="C2024000054"/>
    <d v="2024-03-14T00:00:00"/>
    <d v="1899-12-30T12:05:15"/>
    <n v="0.53489583333333335"/>
    <x v="0"/>
    <s v="Class 1"/>
    <x v="2"/>
    <s v="LPT"/>
    <s v="Gombak Toll Plaza"/>
    <s v="Bentong Toll Plaza"/>
    <n v="45"/>
    <s v="Short (0-50km)"/>
    <s v="Off-Peak"/>
    <s v="Weekday"/>
    <n v="12"/>
    <x v="2"/>
    <n v="66.666666666666671"/>
  </r>
  <r>
    <s v="B2024000055"/>
    <d v="2024-04-22T00:00:00"/>
    <d v="1899-12-30T07:05:12"/>
    <n v="0.37861111111111112"/>
    <x v="2"/>
    <s v="Class 4"/>
    <x v="0"/>
    <s v="LPT"/>
    <s v="Gombak Toll Plaza"/>
    <s v="Gambang Toll Plaza"/>
    <n v="120.00000000000006"/>
    <s v="Long (100-200km)"/>
    <s v="Peak"/>
    <s v="Weekday"/>
    <n v="7"/>
    <x v="3"/>
    <n v="99.999999999999957"/>
  </r>
  <r>
    <s v="C2024000056"/>
    <d v="2024-05-09T00:00:00"/>
    <d v="1899-12-30T10:20:10"/>
    <n v="0.4619212962962963"/>
    <x v="0"/>
    <s v="Class 1"/>
    <x v="2"/>
    <s v="LPT"/>
    <s v="Gombak Toll Plaza"/>
    <s v="Karak Toll Plaza"/>
    <n v="45"/>
    <s v="Short (0-50km)"/>
    <s v="Off-Peak"/>
    <s v="Weekday"/>
    <n v="10"/>
    <x v="4"/>
    <n v="66.666666666666671"/>
  </r>
  <r>
    <s v="L2024000057"/>
    <d v="2024-06-18T00:00:00"/>
    <d v="1899-12-30T08:50:33"/>
    <n v="0.45177083333333334"/>
    <x v="1"/>
    <s v="Class 2/3"/>
    <x v="1"/>
    <s v="LPT"/>
    <s v="Gombak Toll Plaza"/>
    <s v="Temerloh Toll Plaza"/>
    <n v="120.00000000000006"/>
    <s v="Medium (50-100km)"/>
    <s v="Peak"/>
    <s v="Weekday"/>
    <n v="8"/>
    <x v="5"/>
    <n v="49.999999999999979"/>
  </r>
  <r>
    <s v="B2024000058"/>
    <d v="2024-07-26T00:00:00"/>
    <d v="1899-12-30T15:30:12"/>
    <n v="0.72930555555555554"/>
    <x v="2"/>
    <s v="Class 4"/>
    <x v="0"/>
    <s v="LPT"/>
    <s v="Gombak Toll Plaza"/>
    <s v="Gambang Toll Plaza"/>
    <n v="120.00000000000006"/>
    <s v="Long (100-200km)"/>
    <s v="Off-Peak"/>
    <s v="Weekday"/>
    <n v="15"/>
    <x v="6"/>
    <n v="99.999999999999957"/>
  </r>
  <r>
    <s v="C2024000059"/>
    <d v="2024-08-03T00:00:00"/>
    <d v="1899-12-30T06:12:45"/>
    <n v="0.28663194444444445"/>
    <x v="0"/>
    <s v="Class 1"/>
    <x v="2"/>
    <s v="LPT"/>
    <s v="Gombak Toll Plaza"/>
    <s v="Bentong Toll Plaza"/>
    <n v="40.000000000000014"/>
    <s v="Short (0-50km)"/>
    <s v="Off-Peak"/>
    <s v="Weekend"/>
    <n v="6"/>
    <x v="7"/>
    <n v="74.999999999999986"/>
  </r>
  <r>
    <s v="L2024000060"/>
    <d v="2024-09-12T00:00:00"/>
    <d v="1899-12-30T13:45:22"/>
    <n v="0.65650462962962963"/>
    <x v="1"/>
    <s v="Class 2/3"/>
    <x v="1"/>
    <s v="LPT"/>
    <s v="Gombak Toll Plaza"/>
    <s v="Temerloh Toll Plaza"/>
    <n v="120.00000000000006"/>
    <s v="Medium (50-100km)"/>
    <s v="Off-Peak"/>
    <s v="Weekday"/>
    <n v="13"/>
    <x v="8"/>
    <n v="49.999999999999979"/>
  </r>
  <r>
    <s v="C2024000061"/>
    <d v="2024-10-27T00:00:00"/>
    <d v="1899-12-30T07:05:10"/>
    <n v="0.32650462962962962"/>
    <x v="0"/>
    <s v="Class 1"/>
    <x v="0"/>
    <s v="LPT"/>
    <s v="Gombak Toll Plaza"/>
    <s v="Karak Toll Plaza"/>
    <n v="45"/>
    <s v="Short (0-50km)"/>
    <s v="Peak"/>
    <s v="Weekend"/>
    <n v="7"/>
    <x v="9"/>
    <n v="66.666666666666671"/>
  </r>
  <r>
    <s v="B2024000062"/>
    <d v="2024-11-05T00:00:00"/>
    <d v="1899-12-30T09:20:33"/>
    <n v="0.47260416666666666"/>
    <x v="2"/>
    <s v="Class 4"/>
    <x v="2"/>
    <s v="LPT"/>
    <s v="Gombak Toll Plaza"/>
    <s v="Gambang Toll Plaza"/>
    <n v="119.99999999999997"/>
    <s v="Long (100-200km)"/>
    <s v="Off-Peak"/>
    <s v="Weekday"/>
    <n v="9"/>
    <x v="10"/>
    <n v="100.00000000000003"/>
  </r>
  <r>
    <s v="C2024000063"/>
    <d v="2024-12-16T00:00:00"/>
    <d v="1899-12-30T05:55:12"/>
    <n v="0.27791666666666665"/>
    <x v="0"/>
    <s v="Class 1"/>
    <x v="2"/>
    <s v="LPT"/>
    <s v="Gombak Toll Plaza"/>
    <s v="Bentong Toll Plaza"/>
    <n v="44.999999999999957"/>
    <s v="Short (0-50km)"/>
    <s v="Off-Peak"/>
    <s v="Weekday"/>
    <n v="5"/>
    <x v="11"/>
    <n v="66.666666666666728"/>
  </r>
  <r>
    <s v="L2024000064"/>
    <d v="2024-01-28T00:00:00"/>
    <d v="1899-12-30T18:12:45"/>
    <n v="0.84218749999999998"/>
    <x v="1"/>
    <s v="Class 2/3"/>
    <x v="1"/>
    <s v="LPT"/>
    <s v="Gombak Toll Plaza"/>
    <s v="Temerloh Toll Plaza"/>
    <n v="119.99999999999989"/>
    <s v="Medium (50-100km)"/>
    <s v="Peak"/>
    <s v="Weekend"/>
    <n v="18"/>
    <x v="0"/>
    <n v="50.00000000000005"/>
  </r>
  <r>
    <s v="C2024000065"/>
    <d v="2024-02-04T00:00:00"/>
    <d v="1899-12-30T12:30:33"/>
    <n v="0.55246527777777776"/>
    <x v="0"/>
    <s v="Class 1"/>
    <x v="0"/>
    <s v="LPT"/>
    <s v="Gombak Toll Plaza"/>
    <s v="Karak Toll Plaza"/>
    <n v="45"/>
    <s v="Short (0-50km)"/>
    <s v="Off-Peak"/>
    <s v="Weekend"/>
    <n v="12"/>
    <x v="1"/>
    <n v="66.666666666666671"/>
  </r>
  <r>
    <s v="B2024000066"/>
    <d v="2024-03-17T00:00:00"/>
    <d v="1899-12-30T06:45:10"/>
    <n v="0.36469907407407409"/>
    <x v="2"/>
    <s v="Class 4"/>
    <x v="0"/>
    <s v="LPT"/>
    <s v="Gombak Toll Plaza"/>
    <s v="Gambang Toll Plaza"/>
    <n v="120.00000000000006"/>
    <s v="Long (100-200km)"/>
    <s v="Off-Peak"/>
    <s v="Weekend"/>
    <n v="6"/>
    <x v="2"/>
    <n v="99.999999999999957"/>
  </r>
  <r>
    <s v="C2024000067"/>
    <d v="2024-04-29T00:00:00"/>
    <d v="1899-12-30T08:12:22"/>
    <n v="0.37317129629629631"/>
    <x v="0"/>
    <s v="Class 1"/>
    <x v="2"/>
    <s v="LPT"/>
    <s v="Gombak Toll Plaza"/>
    <s v="Bentong Toll Plaza"/>
    <n v="45"/>
    <s v="Short (0-50km)"/>
    <s v="Peak"/>
    <s v="Weekday"/>
    <n v="8"/>
    <x v="3"/>
    <n v="66.666666666666671"/>
  </r>
  <r>
    <s v="L2024000068"/>
    <d v="2024-05-12T00:00:00"/>
    <d v="1899-12-30T14:05:15"/>
    <n v="0.67031249999999998"/>
    <x v="1"/>
    <s v="Class 2/3"/>
    <x v="1"/>
    <s v="LPT"/>
    <s v="Gombak Toll Plaza"/>
    <s v="Temerloh Toll Plaza"/>
    <n v="119.99999999999989"/>
    <s v="Medium (50-100km)"/>
    <s v="Off-Peak"/>
    <s v="Weekend"/>
    <n v="14"/>
    <x v="4"/>
    <n v="50.00000000000005"/>
  </r>
  <r>
    <s v="C2024000069"/>
    <d v="2024-06-21T00:00:00"/>
    <d v="1899-12-30T07:50:22"/>
    <n v="0.35789351851851853"/>
    <x v="0"/>
    <s v="Class 1"/>
    <x v="0"/>
    <s v="LPT"/>
    <s v="Gombak Toll Plaza"/>
    <s v="Karak Toll Plaza"/>
    <n v="45"/>
    <s v="Short (0-50km)"/>
    <s v="Peak"/>
    <s v="Weekday"/>
    <n v="7"/>
    <x v="5"/>
    <n v="66.666666666666671"/>
  </r>
  <r>
    <s v="B2024000070"/>
    <d v="2024-07-02T00:00:00"/>
    <d v="1899-12-30T10:12:33"/>
    <n v="0.50871527777777781"/>
    <x v="2"/>
    <s v="Class 4"/>
    <x v="2"/>
    <s v="LPT"/>
    <s v="Gombak Toll Plaza"/>
    <s v="Gambang Toll Plaza"/>
    <n v="120.00000000000006"/>
    <s v="Long (100-200km)"/>
    <s v="Off-Peak"/>
    <s v="Weekday"/>
    <n v="10"/>
    <x v="6"/>
    <n v="99.999999999999957"/>
  </r>
  <r>
    <s v="C2024000071"/>
    <d v="2024-08-15T00:00:00"/>
    <d v="1899-12-30T06:40:10"/>
    <n v="0.30914351851851851"/>
    <x v="0"/>
    <s v="Class 1"/>
    <x v="2"/>
    <s v="LPT"/>
    <s v="Gombak Toll Plaza"/>
    <s v="Bentong Toll Plaza"/>
    <n v="45"/>
    <s v="Short (0-50km)"/>
    <s v="Off-Peak"/>
    <s v="Weekday"/>
    <n v="6"/>
    <x v="7"/>
    <n v="66.666666666666671"/>
  </r>
  <r>
    <s v="L2024000072"/>
    <d v="2024-09-27T00:00:00"/>
    <d v="1899-12-30T17:05:45"/>
    <n v="0.79565972222222225"/>
    <x v="1"/>
    <s v="Class 2/3"/>
    <x v="1"/>
    <s v="LPT"/>
    <s v="Gombak Toll Plaza"/>
    <s v="Temerloh Toll Plaza"/>
    <n v="120.00000000000006"/>
    <s v="Medium (50-100km)"/>
    <s v="Peak"/>
    <s v="Weekday"/>
    <n v="17"/>
    <x v="8"/>
    <n v="49.999999999999979"/>
  </r>
  <r>
    <s v="C2024000073"/>
    <d v="2024-10-08T00:00:00"/>
    <d v="1899-12-30T12:50:12"/>
    <n v="0.56611111111111112"/>
    <x v="0"/>
    <s v="Class 1"/>
    <x v="0"/>
    <s v="LPT"/>
    <s v="Gombak Toll Plaza"/>
    <s v="Karak Toll Plaza"/>
    <n v="45"/>
    <s v="Short (0-50km)"/>
    <s v="Off-Peak"/>
    <s v="Weekday"/>
    <n v="12"/>
    <x v="9"/>
    <n v="66.666666666666671"/>
  </r>
  <r>
    <s v="B2024000074"/>
    <d v="2024-11-19T00:00:00"/>
    <d v="1899-12-30T07:25:22"/>
    <n v="0.39261574074074074"/>
    <x v="2"/>
    <s v="Class 4"/>
    <x v="0"/>
    <s v="LPT"/>
    <s v="Gombak Toll Plaza"/>
    <s v="Gambang Toll Plaza"/>
    <n v="119.99999999999997"/>
    <s v="Long (100-200km)"/>
    <s v="Peak"/>
    <s v="Weekday"/>
    <n v="7"/>
    <x v="10"/>
    <n v="100.00000000000003"/>
  </r>
  <r>
    <s v="C2024000075"/>
    <d v="2024-12-30T00:00:00"/>
    <d v="1899-12-30T05:35:10"/>
    <n v="0.26400462962962962"/>
    <x v="0"/>
    <s v="Class 1"/>
    <x v="2"/>
    <s v="LPT"/>
    <s v="Gombak Toll Plaza"/>
    <s v="Bentong Toll Plaza"/>
    <n v="45"/>
    <s v="Short (0-50km)"/>
    <s v="Off-Peak"/>
    <s v="Weekday"/>
    <n v="5"/>
    <x v="11"/>
    <n v="66.666666666666671"/>
  </r>
  <r>
    <s v="L2024000076"/>
    <d v="2024-01-11T00:00:00"/>
    <d v="1899-12-30T14:10:33"/>
    <n v="0.67399305555555555"/>
    <x v="1"/>
    <s v="Class 2/3"/>
    <x v="1"/>
    <s v="LPT"/>
    <s v="Gombak Toll Plaza"/>
    <s v="Temerloh Toll Plaza"/>
    <n v="120.00000000000006"/>
    <s v="Medium (50-100km)"/>
    <s v="Off-Peak"/>
    <s v="Weekday"/>
    <n v="14"/>
    <x v="0"/>
    <n v="49.999999999999979"/>
  </r>
  <r>
    <s v="C2024000077"/>
    <d v="2024-02-23T00:00:00"/>
    <d v="1899-12-30T08:05:22"/>
    <n v="0.36831018518518521"/>
    <x v="0"/>
    <s v="Class 1"/>
    <x v="0"/>
    <s v="LPT"/>
    <s v="Gombak Toll Plaza"/>
    <s v="Karak Toll Plaza"/>
    <n v="45"/>
    <s v="Short (0-50km)"/>
    <s v="Peak"/>
    <s v="Weekday"/>
    <n v="8"/>
    <x v="1"/>
    <n v="66.666666666666671"/>
  </r>
  <r>
    <s v="B2024000078"/>
    <d v="2024-03-05T00:00:00"/>
    <d v="1899-12-30T09:50:10"/>
    <n v="0.4931712962962963"/>
    <x v="2"/>
    <s v="Class 4"/>
    <x v="2"/>
    <s v="LPT"/>
    <s v="Gombak Toll Plaza"/>
    <s v="Gambang Toll Plaza"/>
    <n v="119.99999999999997"/>
    <s v="Long (100-200km)"/>
    <s v="Off-Peak"/>
    <s v="Weekday"/>
    <n v="9"/>
    <x v="2"/>
    <n v="100.00000000000003"/>
  </r>
  <r>
    <s v="C2024000079"/>
    <d v="2024-04-16T00:00:00"/>
    <d v="1899-12-30T06:12:45"/>
    <n v="0.29010416666666666"/>
    <x v="0"/>
    <s v="Class 1"/>
    <x v="2"/>
    <s v="LPT"/>
    <s v="Gombak Toll Plaza"/>
    <s v="Bentong Toll Plaza"/>
    <n v="45"/>
    <s v="Short (0-50km)"/>
    <s v="Off-Peak"/>
    <s v="Weekday"/>
    <n v="6"/>
    <x v="3"/>
    <n v="66.666666666666671"/>
  </r>
  <r>
    <s v="L2024000080"/>
    <d v="2024-05-28T00:00:00"/>
    <d v="1899-12-30T17:20:33"/>
    <n v="0.80593749999999997"/>
    <x v="1"/>
    <s v="Class 2/3"/>
    <x v="1"/>
    <s v="LPT"/>
    <s v="Gombak Toll Plaza"/>
    <s v="Temerloh Toll Plaza"/>
    <n v="119.99999999999989"/>
    <s v="Medium (50-100km)"/>
    <s v="Peak"/>
    <s v="Weekday"/>
    <n v="17"/>
    <x v="4"/>
    <n v="50.00000000000005"/>
  </r>
  <r>
    <s v="C2024000081"/>
    <d v="2024-06-09T00:00:00"/>
    <d v="1899-12-30T07:05:12"/>
    <n v="0.32652777777777775"/>
    <x v="0"/>
    <s v="Class 1"/>
    <x v="0"/>
    <s v="LPT"/>
    <s v="Gombak Toll Plaza"/>
    <s v="Karak Toll Plaza"/>
    <n v="45"/>
    <s v="Short (0-50km)"/>
    <s v="Peak"/>
    <s v="Weekend"/>
    <n v="7"/>
    <x v="5"/>
    <n v="66.666666666666671"/>
  </r>
  <r>
    <s v="B2024000082"/>
    <d v="2024-07-20T00:00:00"/>
    <d v="1899-12-30T08:40:10"/>
    <n v="0.4445601851851852"/>
    <x v="2"/>
    <s v="Class 4"/>
    <x v="0"/>
    <s v="LPT"/>
    <s v="Gombak Toll Plaza"/>
    <s v="Gambang Toll Plaza"/>
    <n v="120.00000000000006"/>
    <s v="Long (100-200km)"/>
    <s v="Peak"/>
    <s v="Weekend"/>
    <n v="8"/>
    <x v="6"/>
    <n v="99.999999999999957"/>
  </r>
  <r>
    <s v="C2024000083"/>
    <d v="2024-08-01T00:00:00"/>
    <d v="1899-12-30T05:25:22"/>
    <n v="0.25719907407407405"/>
    <x v="0"/>
    <s v="Class 1"/>
    <x v="2"/>
    <s v="LPT"/>
    <s v="Gombak Toll Plaza"/>
    <s v="Bentong Toll Plaza"/>
    <n v="44.999999999999957"/>
    <s v="Short (0-50km)"/>
    <s v="Off-Peak"/>
    <s v="Weekday"/>
    <n v="5"/>
    <x v="7"/>
    <n v="66.666666666666728"/>
  </r>
  <r>
    <s v="L2024000084"/>
    <d v="2024-09-12T00:00:00"/>
    <d v="1899-12-30T13:12:33"/>
    <n v="0.63371527777777781"/>
    <x v="1"/>
    <s v="Class 2/3"/>
    <x v="1"/>
    <s v="LPT"/>
    <s v="Gombak Toll Plaza"/>
    <s v="Temerloh Toll Plaza"/>
    <n v="120.00000000000006"/>
    <s v="Medium (50-100km)"/>
    <s v="Off-Peak"/>
    <s v="Weekday"/>
    <n v="13"/>
    <x v="8"/>
    <n v="49.999999999999979"/>
  </r>
  <r>
    <s v="C2024000085"/>
    <d v="2024-10-24T00:00:00"/>
    <d v="1899-12-30T06:50:12"/>
    <n v="0.31611111111111112"/>
    <x v="0"/>
    <s v="Class 1"/>
    <x v="0"/>
    <s v="LPT"/>
    <s v="Gombak Toll Plaza"/>
    <s v="Karak Toll Plaza"/>
    <n v="45"/>
    <s v="Short (0-50km)"/>
    <s v="Off-Peak"/>
    <s v="Weekday"/>
    <n v="6"/>
    <x v="9"/>
    <n v="66.666666666666671"/>
  </r>
  <r>
    <s v="B2024000086"/>
    <d v="2024-11-04T00:00:00"/>
    <d v="1899-12-30T10:05:33"/>
    <n v="0.50385416666666671"/>
    <x v="2"/>
    <s v="Class 4"/>
    <x v="2"/>
    <s v="LPT"/>
    <s v="Gombak Toll Plaza"/>
    <s v="Gambang Toll Plaza"/>
    <n v="120.00000000000006"/>
    <s v="Long (100-200km)"/>
    <s v="Off-Peak"/>
    <s v="Weekday"/>
    <n v="10"/>
    <x v="10"/>
    <n v="99.999999999999957"/>
  </r>
  <r>
    <s v="C2024000087"/>
    <d v="2024-12-15T00:00:00"/>
    <d v="1899-12-30T07:12:22"/>
    <n v="0.33150462962962962"/>
    <x v="0"/>
    <s v="Class 1"/>
    <x v="2"/>
    <s v="LPT"/>
    <s v="Gombak Toll Plaza"/>
    <s v="Bentong Toll Plaza"/>
    <n v="45"/>
    <s v="Short (0-50km)"/>
    <s v="Peak"/>
    <s v="Weekend"/>
    <n v="7"/>
    <x v="11"/>
    <n v="66.666666666666671"/>
  </r>
  <r>
    <s v="L2024000088"/>
    <d v="2024-01-26T00:00:00"/>
    <d v="1899-12-30T16:50:10"/>
    <n v="0.78483796296296293"/>
    <x v="1"/>
    <s v="Class 2/3"/>
    <x v="1"/>
    <s v="LPT"/>
    <s v="Gombak Toll Plaza"/>
    <s v="Temerloh Toll Plaza"/>
    <n v="119.99999999999989"/>
    <s v="Medium (50-100km)"/>
    <s v="Off-Peak"/>
    <s v="Weekday"/>
    <n v="16"/>
    <x v="0"/>
    <n v="50.00000000000005"/>
  </r>
  <r>
    <s v="C2024000089"/>
    <d v="2024-02-07T00:00:00"/>
    <d v="1899-12-30T12:05:22"/>
    <n v="0.53497685185185184"/>
    <x v="0"/>
    <s v="Class 1"/>
    <x v="0"/>
    <s v="LPT"/>
    <s v="Gombak Toll Plaza"/>
    <s v="Karak Toll Plaza"/>
    <n v="45"/>
    <s v="Short (0-50km)"/>
    <s v="Off-Peak"/>
    <s v="Weekday"/>
    <n v="12"/>
    <x v="1"/>
    <n v="66.666666666666671"/>
  </r>
  <r>
    <s v="B2024000090"/>
    <d v="2024-03-18T00:00:00"/>
    <d v="1899-12-30T06:40:33"/>
    <n v="0.36149305555555555"/>
    <x v="2"/>
    <s v="Class 4"/>
    <x v="0"/>
    <s v="LPT"/>
    <s v="Gombak Toll Plaza"/>
    <s v="Gambang Toll Plaza"/>
    <n v="119.99999999999997"/>
    <s v="Long (100-200km)"/>
    <s v="Off-Peak"/>
    <s v="Weekday"/>
    <n v="6"/>
    <x v="2"/>
    <n v="100.00000000000003"/>
  </r>
  <r>
    <s v="C2024000091"/>
    <d v="2024-04-29T00:00:00"/>
    <d v="1899-12-30T05:55:12"/>
    <n v="0.27791666666666665"/>
    <x v="0"/>
    <s v="Class 1"/>
    <x v="2"/>
    <s v="LPT"/>
    <s v="Gombak Toll Plaza"/>
    <s v="Bentong Toll Plaza"/>
    <n v="44.999999999999957"/>
    <s v="Short (0-50km)"/>
    <s v="Off-Peak"/>
    <s v="Weekday"/>
    <n v="5"/>
    <x v="3"/>
    <n v="66.666666666666728"/>
  </r>
  <r>
    <s v="L2024000092"/>
    <d v="2024-05-11T00:00:00"/>
    <d v="1899-12-30T14:20:10"/>
    <n v="0.6806712962962963"/>
    <x v="1"/>
    <s v="Class 2/3"/>
    <x v="1"/>
    <s v="LPT"/>
    <s v="Gombak Toll Plaza"/>
    <s v="Temerloh Toll Plaza"/>
    <n v="120.00000000000006"/>
    <s v="Medium (50-100km)"/>
    <s v="Off-Peak"/>
    <s v="Weekend"/>
    <n v="14"/>
    <x v="4"/>
    <n v="49.999999999999979"/>
  </r>
  <r>
    <s v="C2024000093"/>
    <d v="2024-06-22T00:00:00"/>
    <d v="1899-12-30T07:15:33"/>
    <n v="0.33371527777777776"/>
    <x v="0"/>
    <s v="Class 1"/>
    <x v="0"/>
    <s v="LPT"/>
    <s v="Gombak Toll Plaza"/>
    <s v="Karak Toll Plaza"/>
    <n v="45"/>
    <s v="Short (0-50km)"/>
    <s v="Peak"/>
    <s v="Weekend"/>
    <n v="7"/>
    <x v="5"/>
    <n v="66.666666666666671"/>
  </r>
  <r>
    <s v="B2024000094"/>
    <d v="2024-07-03T00:00:00"/>
    <d v="1899-12-30T09:50:22"/>
    <n v="0.49331018518518521"/>
    <x v="2"/>
    <s v="Class 4"/>
    <x v="2"/>
    <s v="LPT"/>
    <s v="Gombak Toll Plaza"/>
    <s v="Gambang Toll Plaza"/>
    <n v="120.00000000000006"/>
    <s v="Long (100-200km)"/>
    <s v="Off-Peak"/>
    <s v="Weekday"/>
    <n v="9"/>
    <x v="6"/>
    <n v="99.999999999999957"/>
  </r>
  <r>
    <s v="C2024000095"/>
    <d v="2024-08-14T00:00:00"/>
    <d v="1899-12-30T06:12:45"/>
    <n v="0.29010416666666666"/>
    <x v="0"/>
    <s v="Class 1"/>
    <x v="2"/>
    <s v="LPT"/>
    <s v="Gombak Toll Plaza"/>
    <s v="Bentong Toll Plaza"/>
    <n v="45"/>
    <s v="Short (0-50km)"/>
    <s v="Off-Peak"/>
    <s v="Weekday"/>
    <n v="6"/>
    <x v="7"/>
    <n v="66.666666666666671"/>
  </r>
  <r>
    <s v="L2024000096"/>
    <d v="2024-09-25T00:00:00"/>
    <d v="1899-12-30T17:05:33"/>
    <n v="0.79552083333333334"/>
    <x v="1"/>
    <s v="Class 2/3"/>
    <x v="1"/>
    <s v="LPT"/>
    <s v="Gombak Toll Plaza"/>
    <s v="Temerloh Toll Plaza"/>
    <n v="120.00000000000006"/>
    <s v="Medium (50-100km)"/>
    <s v="Peak"/>
    <s v="Weekday"/>
    <n v="17"/>
    <x v="8"/>
    <n v="49.999999999999979"/>
  </r>
  <r>
    <s v="C2024000097"/>
    <d v="2024-10-06T00:00:00"/>
    <d v="1899-12-30T12:30:22"/>
    <n v="0.552337962962963"/>
    <x v="0"/>
    <s v="Class 1"/>
    <x v="0"/>
    <s v="LPT"/>
    <s v="Gombak Toll Plaza"/>
    <s v="Karak Toll Plaza"/>
    <n v="45"/>
    <s v="Short (0-50km)"/>
    <s v="Off-Peak"/>
    <s v="Weekend"/>
    <n v="12"/>
    <x v="9"/>
    <n v="66.666666666666671"/>
  </r>
  <r>
    <s v="B2024000098"/>
    <d v="2024-11-17T00:00:00"/>
    <d v="1899-12-30T07:25:10"/>
    <n v="0.39247685185185183"/>
    <x v="2"/>
    <s v="Class 4"/>
    <x v="0"/>
    <s v="LPT"/>
    <s v="Gombak Toll Plaza"/>
    <s v="Gambang Toll Plaza"/>
    <n v="119.99999999999997"/>
    <s v="Long (100-200km)"/>
    <s v="Peak"/>
    <s v="Weekend"/>
    <n v="7"/>
    <x v="10"/>
    <n v="100.00000000000003"/>
  </r>
  <r>
    <s v="C2024000099"/>
    <d v="2024-12-28T00:00:00"/>
    <d v="1899-12-30T05:35:33"/>
    <n v="0.26427083333333334"/>
    <x v="0"/>
    <s v="Class 1"/>
    <x v="2"/>
    <s v="LPT"/>
    <s v="Gombak Toll Plaza"/>
    <s v="Bentong Toll Plaza"/>
    <n v="45"/>
    <s v="Short (0-50km)"/>
    <s v="Off-Peak"/>
    <s v="Weekend"/>
    <n v="5"/>
    <x v="11"/>
    <n v="66.666666666666671"/>
  </r>
  <r>
    <s v="L2024000100"/>
    <d v="2024-01-09T00:00:00"/>
    <d v="1899-12-30T14:10:12"/>
    <n v="0.67374999999999996"/>
    <x v="1"/>
    <s v="Class 2/3"/>
    <x v="1"/>
    <s v="LPT"/>
    <s v="Gombak Toll Plaza"/>
    <s v="Temerloh Toll Plaza"/>
    <n v="119.99999999999989"/>
    <s v="Medium (50-100km)"/>
    <s v="Off-Peak"/>
    <s v="Weekday"/>
    <n v="14"/>
    <x v="0"/>
    <n v="50.00000000000005"/>
  </r>
  <r>
    <s v="C2024000101"/>
    <d v="2024-01-03T00:00:00"/>
    <d v="1899-12-30T06:15:12"/>
    <d v="1899-12-30T07:00:12"/>
    <x v="0"/>
    <s v="Class 1"/>
    <x v="0"/>
    <s v="LPT"/>
    <s v="Gombak Toll Plaza"/>
    <s v="Bentong Toll Plaza"/>
    <n v="45"/>
    <s v="Short (0-50km)"/>
    <s v="Off-Peak"/>
    <s v="Weekday"/>
    <n v="6"/>
    <x v="0"/>
    <n v="66.666666666666671"/>
  </r>
  <r>
    <s v="B2024000102"/>
    <d v="2024-01-14T00:00:00"/>
    <d v="1899-12-30T08:30:45"/>
    <d v="1899-12-30T10:30:45"/>
    <x v="2"/>
    <s v="Class 4"/>
    <x v="2"/>
    <s v="LPT"/>
    <s v="Gombak Toll Plaza"/>
    <s v="Gambang Toll Plaza"/>
    <n v="120.00000000000006"/>
    <s v="Long (100-200km)"/>
    <s v="Peak"/>
    <s v="Weekend"/>
    <n v="8"/>
    <x v="0"/>
    <n v="99.999999999999957"/>
  </r>
  <r>
    <s v="L2024000103"/>
    <d v="2024-01-25T00:00:00"/>
    <d v="1899-12-30T17:05:22"/>
    <d v="1899-12-30T19:05:22"/>
    <x v="1"/>
    <s v="Class 2/3"/>
    <x v="1"/>
    <s v="LPT"/>
    <s v="Gombak Toll Plaza"/>
    <s v="Temerloh Toll Plaza"/>
    <n v="119.99999999999989"/>
    <s v="Medium (50-100km)"/>
    <s v="Peak"/>
    <s v="Weekday"/>
    <n v="17"/>
    <x v="0"/>
    <n v="50.00000000000005"/>
  </r>
  <r>
    <s v="C2024000104"/>
    <d v="2024-02-06T00:00:00"/>
    <d v="1899-12-30T12:50:10"/>
    <d v="1899-12-30T13:35:10"/>
    <x v="0"/>
    <s v="Class 1"/>
    <x v="0"/>
    <s v="LPT"/>
    <s v="Gombak Toll Plaza"/>
    <s v="Karak Toll Plaza"/>
    <n v="45"/>
    <s v="Short (0-50km)"/>
    <s v="Off-Peak"/>
    <s v="Weekday"/>
    <n v="12"/>
    <x v="1"/>
    <n v="66.666666666666671"/>
  </r>
  <r>
    <s v="C2024000105"/>
    <d v="2024-02-18T00:00:00"/>
    <d v="1899-12-30T07:15:33"/>
    <d v="1899-12-30T08:00:33"/>
    <x v="0"/>
    <s v="Class 1"/>
    <x v="2"/>
    <s v="LPT"/>
    <s v="Gombak Toll Plaza"/>
    <s v="Bentong Toll Plaza"/>
    <n v="45"/>
    <s v="Short (0-50km)"/>
    <s v="Peak"/>
    <s v="Weekend"/>
    <n v="7"/>
    <x v="1"/>
    <n v="66.666666666666671"/>
  </r>
  <r>
    <s v="B2024000106"/>
    <d v="2024-02-28T00:00:00"/>
    <d v="1899-12-30T09:05:12"/>
    <d v="1899-12-30T11:05:12"/>
    <x v="2"/>
    <s v="Class 4"/>
    <x v="0"/>
    <s v="LPT"/>
    <s v="Gombak Toll Plaza"/>
    <s v="Gambang Toll Plaza"/>
    <n v="119.99999999999997"/>
    <s v="Long (100-200km)"/>
    <s v="Off-Peak"/>
    <s v="Weekday"/>
    <n v="9"/>
    <x v="1"/>
    <n v="100.00000000000003"/>
  </r>
  <r>
    <s v="L2024000107"/>
    <d v="2024-03-11T00:00:00"/>
    <d v="1899-12-30T05:50:33"/>
    <d v="1899-12-30T07:50:33"/>
    <x v="1"/>
    <s v="Class 2/3"/>
    <x v="1"/>
    <s v="LPT"/>
    <s v="Gombak Toll Plaza"/>
    <s v="Temerloh Toll Plaza"/>
    <n v="120.00000000000001"/>
    <s v="Medium (50-100km)"/>
    <s v="Off-Peak"/>
    <s v="Weekday"/>
    <n v="5"/>
    <x v="2"/>
    <n v="49.999999999999986"/>
  </r>
  <r>
    <s v="C2024000108"/>
    <d v="2024-03-22T00:00:00"/>
    <d v="1899-12-30T06:25:22"/>
    <d v="1899-12-30T07:10:22"/>
    <x v="0"/>
    <s v="Class 1"/>
    <x v="2"/>
    <s v="LPT"/>
    <s v="Gombak Toll Plaza"/>
    <s v="Karak Toll Plaza"/>
    <n v="45"/>
    <s v="Short (0-50km)"/>
    <s v="Off-Peak"/>
    <s v="Weekday"/>
    <n v="6"/>
    <x v="2"/>
    <n v="66.666666666666671"/>
  </r>
  <r>
    <s v="C2024000109"/>
    <d v="2024-04-03T00:00:00"/>
    <d v="1899-12-30T13:12:45"/>
    <d v="1899-12-30T13:57:45"/>
    <x v="0"/>
    <s v="Class 1"/>
    <x v="0"/>
    <s v="LPT"/>
    <s v="Gombak Toll Plaza"/>
    <s v="Bentong Toll Plaza"/>
    <n v="45"/>
    <s v="Short (0-50km)"/>
    <s v="Off-Peak"/>
    <s v="Weekday"/>
    <n v="13"/>
    <x v="3"/>
    <n v="66.666666666666671"/>
  </r>
  <r>
    <s v="B2024000110"/>
    <d v="2024-04-14T00:00:00"/>
    <d v="1899-12-30T10:40:10"/>
    <d v="1899-12-30T12:40:10"/>
    <x v="2"/>
    <s v="Class 4"/>
    <x v="2"/>
    <s v="LPT"/>
    <s v="Gombak Toll Plaza"/>
    <s v="Gambang Toll Plaza"/>
    <n v="119.99999999999997"/>
    <s v="Long (100-200km)"/>
    <s v="Off-Peak"/>
    <s v="Weekend"/>
    <n v="10"/>
    <x v="3"/>
    <n v="100.00000000000003"/>
  </r>
  <r>
    <s v="C2024000111"/>
    <d v="2024-04-25T00:00:00"/>
    <d v="1899-12-30T08:05:33"/>
    <d v="1899-12-30T08:50:33"/>
    <x v="0"/>
    <s v="Class 1"/>
    <x v="2"/>
    <s v="LPT"/>
    <s v="Gombak Toll Plaza"/>
    <s v="Karak Toll Plaza"/>
    <n v="45"/>
    <s v="Short (0-50km)"/>
    <s v="Peak"/>
    <s v="Weekday"/>
    <n v="8"/>
    <x v="3"/>
    <n v="66.666666666666671"/>
  </r>
  <r>
    <s v="L2024000112"/>
    <d v="2024-05-06T00:00:00"/>
    <d v="1899-12-30T15:30:22"/>
    <d v="1899-12-30T17:30:22"/>
    <x v="1"/>
    <s v="Class 2/3"/>
    <x v="1"/>
    <s v="LPT"/>
    <s v="Gombak Toll Plaza"/>
    <s v="Temerloh Toll Plaza"/>
    <n v="119.99999999999989"/>
    <s v="Medium (50-100km)"/>
    <s v="Off-Peak"/>
    <s v="Weekday"/>
    <n v="15"/>
    <x v="4"/>
    <n v="50.00000000000005"/>
  </r>
  <r>
    <s v="C2024000113"/>
    <d v="2024-05-17T00:00:00"/>
    <d v="1899-12-30T07:12:12"/>
    <d v="1899-12-30T07:57:12"/>
    <x v="0"/>
    <s v="Class 1"/>
    <x v="0"/>
    <s v="LPT"/>
    <s v="Gombak Toll Plaza"/>
    <s v="Bentong Toll Plaza"/>
    <n v="45"/>
    <s v="Short (0-50km)"/>
    <s v="Peak"/>
    <s v="Weekday"/>
    <n v="7"/>
    <x v="4"/>
    <n v="66.666666666666671"/>
  </r>
  <r>
    <s v="B2024000114"/>
    <d v="2024-05-28T00:00:00"/>
    <d v="1899-12-30T09:50:45"/>
    <d v="1899-12-30T11:50:45"/>
    <x v="2"/>
    <s v="Class 4"/>
    <x v="2"/>
    <s v="LPT"/>
    <s v="Gombak Toll Plaza"/>
    <s v="Gambang Toll Plaza"/>
    <n v="119.99999999999997"/>
    <s v="Long (100-200km)"/>
    <s v="Off-Peak"/>
    <s v="Weekday"/>
    <n v="9"/>
    <x v="4"/>
    <n v="100.00000000000003"/>
  </r>
  <r>
    <s v="C2024000115"/>
    <d v="2024-06-08T00:00:00"/>
    <d v="1899-12-30T06:15:22"/>
    <d v="1899-12-30T07:00:22"/>
    <x v="0"/>
    <s v="Class 1"/>
    <x v="2"/>
    <s v="LPT"/>
    <s v="Gombak Toll Plaza"/>
    <s v="Karak Toll Plaza"/>
    <n v="45"/>
    <s v="Short (0-50km)"/>
    <s v="Off-Peak"/>
    <s v="Weekend"/>
    <n v="6"/>
    <x v="5"/>
    <n v="66.666666666666671"/>
  </r>
  <r>
    <s v="L2024000116"/>
    <d v="2024-06-19T00:00:00"/>
    <d v="1899-12-30T16:05:12"/>
    <d v="1899-12-30T18:05:12"/>
    <x v="1"/>
    <s v="Class 2/3"/>
    <x v="1"/>
    <s v="LPT"/>
    <s v="Gombak Toll Plaza"/>
    <s v="Temerloh Toll Plaza"/>
    <n v="120.00000000000006"/>
    <s v="Medium (50-100km)"/>
    <s v="Off-Peak"/>
    <s v="Weekday"/>
    <n v="16"/>
    <x v="5"/>
    <n v="49.999999999999979"/>
  </r>
  <r>
    <s v="C2024000117"/>
    <d v="2024-06-30T00:00:00"/>
    <d v="1899-12-30T12:05:33"/>
    <d v="1899-12-30T12:50:33"/>
    <x v="0"/>
    <s v="Class 1"/>
    <x v="0"/>
    <s v="LPT"/>
    <s v="Gombak Toll Plaza"/>
    <s v="Bentong Toll Plaza"/>
    <n v="45"/>
    <s v="Short (0-50km)"/>
    <s v="Off-Peak"/>
    <s v="Weekend"/>
    <n v="12"/>
    <x v="5"/>
    <n v="66.666666666666671"/>
  </r>
  <r>
    <s v="B2024000118"/>
    <d v="2024-07-11T00:00:00"/>
    <d v="1899-12-30T07:25:10"/>
    <d v="1899-12-30T09:25:10"/>
    <x v="2"/>
    <s v="Class 4"/>
    <x v="0"/>
    <s v="LPT"/>
    <s v="Gombak Toll Plaza"/>
    <s v="Gambang Toll Plaza"/>
    <n v="119.99999999999997"/>
    <s v="Long (100-200km)"/>
    <s v="Peak"/>
    <s v="Weekday"/>
    <n v="7"/>
    <x v="6"/>
    <n v="100.00000000000003"/>
  </r>
  <r>
    <s v="C2024000119"/>
    <d v="2024-07-22T00:00:00"/>
    <d v="1899-12-30T05:55:12"/>
    <d v="1899-12-30T06:40:12"/>
    <x v="0"/>
    <s v="Class 1"/>
    <x v="2"/>
    <s v="LPT"/>
    <s v="Gombak Toll Plaza"/>
    <s v="Karak Toll Plaza"/>
    <n v="44.999999999999957"/>
    <s v="Short (0-50km)"/>
    <s v="Off-Peak"/>
    <s v="Weekday"/>
    <n v="5"/>
    <x v="6"/>
    <n v="66.666666666666728"/>
  </r>
  <r>
    <s v="L2024000120"/>
    <d v="2024-08-03T00:00:00"/>
    <d v="1899-12-30T13:40:33"/>
    <d v="1899-12-30T15:40:33"/>
    <x v="1"/>
    <s v="Class 2/3"/>
    <x v="1"/>
    <s v="LPT"/>
    <s v="Gombak Toll Plaza"/>
    <s v="Temerloh Toll Plaza"/>
    <n v="119.99999999999989"/>
    <s v="Medium (50-100km)"/>
    <s v="Off-Peak"/>
    <s v="Weekend"/>
    <n v="13"/>
    <x v="7"/>
    <n v="50.00000000000005"/>
  </r>
  <r>
    <s v="C2024000121"/>
    <d v="2024-08-14T00:00:00"/>
    <d v="1899-12-30T06:05:10"/>
    <d v="1899-12-30T06:50:10"/>
    <x v="0"/>
    <s v="Class 1"/>
    <x v="0"/>
    <s v="LPT"/>
    <s v="Gombak Toll Plaza"/>
    <s v="Bentong Toll Plaza"/>
    <n v="45"/>
    <s v="Short (0-50km)"/>
    <s v="Off-Peak"/>
    <s v="Weekday"/>
    <n v="6"/>
    <x v="7"/>
    <n v="66.666666666666671"/>
  </r>
  <r>
    <s v="B2024000122"/>
    <d v="2024-08-25T00:00:00"/>
    <d v="1899-12-30T09:12:22"/>
    <d v="1899-12-30T11:12:22"/>
    <x v="2"/>
    <s v="Class 4"/>
    <x v="2"/>
    <s v="LPT"/>
    <s v="Gombak Toll Plaza"/>
    <s v="Gambang Toll Plaza"/>
    <n v="120.00000000000006"/>
    <s v="Long (100-200km)"/>
    <s v="Off-Peak"/>
    <s v="Weekend"/>
    <n v="9"/>
    <x v="7"/>
    <n v="99.999999999999957"/>
  </r>
  <r>
    <s v="C2024000123"/>
    <d v="2024-09-05T00:00:00"/>
    <d v="1899-12-30T08:50:45"/>
    <d v="1899-12-30T09:35:45"/>
    <x v="0"/>
    <s v="Class 1"/>
    <x v="2"/>
    <s v="LPT"/>
    <s v="Gombak Toll Plaza"/>
    <s v="Karak Toll Plaza"/>
    <n v="45"/>
    <s v="Short (0-50km)"/>
    <s v="Peak"/>
    <s v="Weekday"/>
    <n v="8"/>
    <x v="8"/>
    <n v="66.666666666666671"/>
  </r>
  <r>
    <s v="L2024000124"/>
    <d v="2024-09-16T00:00:00"/>
    <d v="1899-12-30T15:05:33"/>
    <d v="1899-12-30T17:05:33"/>
    <x v="1"/>
    <s v="Class 2/3"/>
    <x v="1"/>
    <s v="LPT"/>
    <s v="Gombak Toll Plaza"/>
    <s v="Temerloh Toll Plaza"/>
    <n v="119.99999999999989"/>
    <s v="Medium (50-100km)"/>
    <s v="Off-Peak"/>
    <s v="Weekday"/>
    <n v="15"/>
    <x v="8"/>
    <n v="50.00000000000005"/>
  </r>
  <r>
    <s v="C2024000125"/>
    <d v="2024-09-27T00:00:00"/>
    <d v="1899-12-30T07:20:12"/>
    <d v="1899-12-30T08:05:12"/>
    <x v="0"/>
    <s v="Class 1"/>
    <x v="0"/>
    <s v="LPT"/>
    <s v="Gombak Toll Plaza"/>
    <s v="Bentong Toll Plaza"/>
    <n v="45"/>
    <s v="Short (0-50km)"/>
    <s v="Peak"/>
    <s v="Weekday"/>
    <n v="7"/>
    <x v="8"/>
    <n v="66.666666666666671"/>
  </r>
  <r>
    <s v="B2024000126"/>
    <d v="2024-10-08T00:00:00"/>
    <d v="1899-12-30T10:05:33"/>
    <d v="1899-12-30T12:05:33"/>
    <x v="2"/>
    <s v="Class 4"/>
    <x v="0"/>
    <s v="LPT"/>
    <s v="Gombak Toll Plaza"/>
    <s v="Gambang Toll Plaza"/>
    <n v="120.00000000000006"/>
    <s v="Long (100-200km)"/>
    <s v="Off-Peak"/>
    <s v="Weekday"/>
    <n v="10"/>
    <x v="9"/>
    <n v="99.999999999999957"/>
  </r>
  <r>
    <s v="C2024000127"/>
    <d v="2024-10-19T00:00:00"/>
    <d v="1899-12-30T06:12:22"/>
    <d v="1899-12-30T06:57:22"/>
    <x v="0"/>
    <s v="Class 1"/>
    <x v="2"/>
    <s v="LPT"/>
    <s v="Gombak Toll Plaza"/>
    <s v="Karak Toll Plaza"/>
    <n v="45"/>
    <s v="Short (0-50km)"/>
    <s v="Off-Peak"/>
    <s v="Weekend"/>
    <n v="6"/>
    <x v="9"/>
    <n v="66.666666666666671"/>
  </r>
  <r>
    <s v="L2024000128"/>
    <d v="2024-10-30T00:00:00"/>
    <d v="1899-12-30T17:15:45"/>
    <d v="1899-12-30T19:15:45"/>
    <x v="1"/>
    <s v="Class 2/3"/>
    <x v="1"/>
    <s v="LPT"/>
    <s v="Gombak Toll Plaza"/>
    <s v="Temerloh Toll Plaza"/>
    <n v="120.00000000000006"/>
    <s v="Medium (50-100km)"/>
    <s v="Peak"/>
    <s v="Weekday"/>
    <n v="17"/>
    <x v="9"/>
    <n v="49.999999999999979"/>
  </r>
  <r>
    <s v="C2024000129"/>
    <d v="2024-11-10T00:00:00"/>
    <d v="1899-12-30T12:50:12"/>
    <d v="1899-12-30T13:35:12"/>
    <x v="0"/>
    <s v="Class 1"/>
    <x v="0"/>
    <s v="LPT"/>
    <s v="Gombak Toll Plaza"/>
    <s v="Bentong Toll Plaza"/>
    <n v="45"/>
    <s v="Short (0-50km)"/>
    <s v="Off-Peak"/>
    <s v="Weekend"/>
    <n v="12"/>
    <x v="10"/>
    <n v="66.666666666666671"/>
  </r>
  <r>
    <s v="B2024000130"/>
    <d v="2024-11-21T00:00:00"/>
    <d v="1899-12-30T07:05:33"/>
    <d v="1899-12-30T09:05:33"/>
    <x v="2"/>
    <s v="Class 4"/>
    <x v="2"/>
    <s v="LPT"/>
    <s v="Gombak Toll Plaza"/>
    <s v="Gambang Toll Plaza"/>
    <n v="119.99999999999997"/>
    <s v="Long (100-200km)"/>
    <s v="Peak"/>
    <s v="Weekday"/>
    <n v="7"/>
    <x v="10"/>
    <n v="100.00000000000003"/>
  </r>
  <r>
    <s v="C2024000131"/>
    <d v="2024-12-02T00:00:00"/>
    <d v="1899-12-30T05:55:22"/>
    <d v="1899-12-30T06:40:22"/>
    <x v="0"/>
    <s v="Class 1"/>
    <x v="2"/>
    <s v="LPT"/>
    <s v="Gombak Toll Plaza"/>
    <s v="Karak Toll Plaza"/>
    <n v="45.000000000000043"/>
    <s v="Short (0-50km)"/>
    <s v="Off-Peak"/>
    <s v="Weekday"/>
    <n v="5"/>
    <x v="11"/>
    <n v="66.6666666666666"/>
  </r>
  <r>
    <s v="L2024000132"/>
    <d v="2024-12-13T00:00:00"/>
    <d v="1899-12-30T14:40:10"/>
    <d v="1899-12-30T16:40:10"/>
    <x v="1"/>
    <s v="Class 2/3"/>
    <x v="1"/>
    <s v="LPT"/>
    <s v="Gombak Toll Plaza"/>
    <s v="Temerloh Toll Plaza"/>
    <n v="119.99999999999989"/>
    <s v="Medium (50-100km)"/>
    <s v="Off-Peak"/>
    <s v="Weekday"/>
    <n v="14"/>
    <x v="11"/>
    <n v="50.00000000000005"/>
  </r>
  <r>
    <s v="C2024000133"/>
    <d v="2024-12-24T00:00:00"/>
    <d v="1899-12-30T07:12:45"/>
    <d v="1899-12-30T07:57:45"/>
    <x v="0"/>
    <s v="Class 1"/>
    <x v="0"/>
    <s v="LPT"/>
    <s v="Gombak Toll Plaza"/>
    <s v="Bentong Toll Plaza"/>
    <n v="45"/>
    <s v="Short (0-50km)"/>
    <s v="Peak"/>
    <s v="Weekday"/>
    <n v="7"/>
    <x v="11"/>
    <n v="66.666666666666671"/>
  </r>
  <r>
    <s v="B2024000134"/>
    <d v="2024-01-04T00:00:00"/>
    <d v="1899-12-30T09:50:12"/>
    <d v="1899-12-30T11:50:12"/>
    <x v="2"/>
    <s v="Class 4"/>
    <x v="0"/>
    <s v="LPT"/>
    <s v="Gombak Toll Plaza"/>
    <s v="Gambang Toll Plaza"/>
    <n v="119.99999999999997"/>
    <s v="Long (100-200km)"/>
    <s v="Off-Peak"/>
    <s v="Weekday"/>
    <n v="9"/>
    <x v="0"/>
    <n v="100.00000000000003"/>
  </r>
  <r>
    <s v="C2024000135"/>
    <d v="2024-01-15T00:00:00"/>
    <d v="1899-12-30T06:15:22"/>
    <d v="1899-12-30T07:00:22"/>
    <x v="0"/>
    <s v="Class 1"/>
    <x v="2"/>
    <s v="LPT"/>
    <s v="Gombak Toll Plaza"/>
    <s v="Karak Toll Plaza"/>
    <n v="45"/>
    <s v="Short (0-50km)"/>
    <s v="Off-Peak"/>
    <s v="Weekday"/>
    <n v="6"/>
    <x v="0"/>
    <n v="66.666666666666671"/>
  </r>
  <r>
    <s v="L2024000136"/>
    <d v="2024-01-26T00:00:00"/>
    <d v="1899-12-30T16:05:33"/>
    <d v="1899-12-30T18:05:33"/>
    <x v="1"/>
    <s v="Class 2/3"/>
    <x v="1"/>
    <s v="LPT"/>
    <s v="Gombak Toll Plaza"/>
    <s v="Temerloh Toll Plaza"/>
    <n v="120.00000000000006"/>
    <s v="Medium (50-100km)"/>
    <s v="Off-Peak"/>
    <s v="Weekday"/>
    <n v="16"/>
    <x v="0"/>
    <n v="49.999999999999979"/>
  </r>
  <r>
    <s v="C2024000137"/>
    <d v="2024-02-06T00:00:00"/>
    <d v="1899-12-30T12:05:45"/>
    <d v="1899-12-30T12:50:45"/>
    <x v="0"/>
    <s v="Class 1"/>
    <x v="0"/>
    <s v="LPT"/>
    <s v="Gombak Toll Plaza"/>
    <s v="Bentong Toll Plaza"/>
    <n v="45"/>
    <s v="Short (0-50km)"/>
    <s v="Off-Peak"/>
    <s v="Weekday"/>
    <n v="12"/>
    <x v="1"/>
    <n v="66.666666666666671"/>
  </r>
  <r>
    <s v="B2024000138"/>
    <d v="2024-02-17T00:00:00"/>
    <d v="1899-12-30T07:25:10"/>
    <d v="1899-12-30T09:25:10"/>
    <x v="2"/>
    <s v="Class 4"/>
    <x v="0"/>
    <s v="LPT"/>
    <s v="Gombak Toll Plaza"/>
    <s v="Gambang Toll Plaza"/>
    <n v="119.99999999999997"/>
    <s v="Long (100-200km)"/>
    <s v="Peak"/>
    <s v="Weekend"/>
    <n v="7"/>
    <x v="1"/>
    <n v="100.00000000000003"/>
  </r>
  <r>
    <s v="C2024000139"/>
    <d v="2024-02-28T00:00:00"/>
    <d v="1899-12-30T05:55:33"/>
    <d v="1899-12-30T06:40:33"/>
    <x v="0"/>
    <s v="Class 1"/>
    <x v="2"/>
    <s v="LPT"/>
    <s v="Gombak Toll Plaza"/>
    <s v="Karak Toll Plaza"/>
    <n v="45.000000000000043"/>
    <s v="Short (0-50km)"/>
    <s v="Off-Peak"/>
    <s v="Weekday"/>
    <n v="5"/>
    <x v="1"/>
    <n v="66.6666666666666"/>
  </r>
  <r>
    <s v="L2024000140"/>
    <d v="2024-03-10T00:00:00"/>
    <d v="1899-12-30T13:40:22"/>
    <d v="1899-12-30T15:40:22"/>
    <x v="1"/>
    <s v="Class 2/3"/>
    <x v="1"/>
    <s v="LPT"/>
    <s v="Gombak Toll Plaza"/>
    <s v="Temerloh Toll Plaza"/>
    <n v="120.00000000000006"/>
    <s v="Medium (50-100km)"/>
    <s v="Off-Peak"/>
    <s v="Weekend"/>
    <n v="13"/>
    <x v="2"/>
    <n v="49.999999999999979"/>
  </r>
  <r>
    <s v="C2024000141"/>
    <d v="2024-03-21T00:00:00"/>
    <d v="1899-12-30T06:05:12"/>
    <d v="1899-12-30T06:50:12"/>
    <x v="0"/>
    <s v="Class 1"/>
    <x v="0"/>
    <s v="LPT"/>
    <s v="Gombak Toll Plaza"/>
    <s v="Bentong Toll Plaza"/>
    <n v="45"/>
    <s v="Short (0-50km)"/>
    <s v="Off-Peak"/>
    <s v="Weekday"/>
    <n v="6"/>
    <x v="2"/>
    <n v="66.666666666666671"/>
  </r>
  <r>
    <s v="B2024000142"/>
    <d v="2024-04-01T00:00:00"/>
    <d v="1899-12-30T09:12:45"/>
    <d v="1899-12-30T11:12:45"/>
    <x v="2"/>
    <s v="Class 4"/>
    <x v="2"/>
    <s v="LPT"/>
    <s v="Gombak Toll Plaza"/>
    <s v="Gambang Toll Plaza"/>
    <n v="119.99999999999997"/>
    <s v="Long (100-200km)"/>
    <s v="Off-Peak"/>
    <s v="Weekday"/>
    <n v="9"/>
    <x v="3"/>
    <n v="100.00000000000003"/>
  </r>
  <r>
    <s v="C2024000143"/>
    <d v="2024-04-12T00:00:00"/>
    <d v="1899-12-30T08:50:33"/>
    <d v="1899-12-30T09:35:33"/>
    <x v="0"/>
    <s v="Class 1"/>
    <x v="2"/>
    <s v="LPT"/>
    <s v="Gombak Toll Plaza"/>
    <s v="Karak Toll Plaza"/>
    <n v="45"/>
    <s v="Short (0-50km)"/>
    <s v="Peak"/>
    <s v="Weekday"/>
    <n v="8"/>
    <x v="3"/>
    <n v="66.666666666666671"/>
  </r>
  <r>
    <s v="L2024000144"/>
    <d v="2024-04-23T00:00:00"/>
    <d v="1899-12-30T15:05:12"/>
    <d v="1899-12-30T17:05:12"/>
    <x v="1"/>
    <s v="Class 2/3"/>
    <x v="1"/>
    <s v="LPT"/>
    <s v="Gombak Toll Plaza"/>
    <s v="Temerloh Toll Plaza"/>
    <n v="120.00000000000006"/>
    <s v="Medium (50-100km)"/>
    <s v="Off-Peak"/>
    <s v="Weekday"/>
    <n v="15"/>
    <x v="3"/>
    <n v="49.999999999999979"/>
  </r>
  <r>
    <s v="C2024000145"/>
    <d v="2024-05-04T00:00:00"/>
    <d v="1899-12-30T07:20:22"/>
    <d v="1899-12-30T08:05:22"/>
    <x v="0"/>
    <s v="Class 1"/>
    <x v="0"/>
    <s v="LPT"/>
    <s v="Gombak Toll Plaza"/>
    <s v="Bentong Toll Plaza"/>
    <n v="45"/>
    <s v="Short (0-50km)"/>
    <s v="Peak"/>
    <s v="Weekend"/>
    <n v="7"/>
    <x v="4"/>
    <n v="66.666666666666671"/>
  </r>
  <r>
    <s v="B2024000146"/>
    <d v="2024-05-15T00:00:00"/>
    <d v="1899-12-30T10:05:10"/>
    <d v="1899-12-30T12:05:10"/>
    <x v="2"/>
    <s v="Class 4"/>
    <x v="0"/>
    <s v="LPT"/>
    <s v="Gombak Toll Plaza"/>
    <s v="Gambang Toll Plaza"/>
    <n v="119.99999999999997"/>
    <s v="Long (100-200km)"/>
    <s v="Off-Peak"/>
    <s v="Weekday"/>
    <n v="10"/>
    <x v="4"/>
    <n v="100.00000000000003"/>
  </r>
  <r>
    <s v="C2024000147"/>
    <d v="2024-05-26T00:00:00"/>
    <d v="1899-12-30T06:12:45"/>
    <d v="1899-12-30T06:57:45"/>
    <x v="0"/>
    <s v="Class 1"/>
    <x v="2"/>
    <s v="LPT"/>
    <s v="Gombak Toll Plaza"/>
    <s v="Karak Toll Plaza"/>
    <n v="45"/>
    <s v="Short (0-50km)"/>
    <s v="Off-Peak"/>
    <s v="Weekend"/>
    <n v="6"/>
    <x v="4"/>
    <n v="66.666666666666671"/>
  </r>
  <r>
    <s v="L2024000148"/>
    <d v="2024-06-06T00:00:00"/>
    <d v="1899-12-30T17:15:33"/>
    <d v="1899-12-30T19:15:33"/>
    <x v="1"/>
    <s v="Class 2/3"/>
    <x v="1"/>
    <s v="LPT"/>
    <s v="Gombak Toll Plaza"/>
    <s v="Temerloh Toll Plaza"/>
    <n v="120.00000000000006"/>
    <s v="Medium (50-100km)"/>
    <s v="Peak"/>
    <s v="Weekday"/>
    <n v="17"/>
    <x v="5"/>
    <n v="49.999999999999979"/>
  </r>
  <r>
    <s v="C2024000149"/>
    <d v="2024-06-17T00:00:00"/>
    <d v="1899-12-30T12:50:12"/>
    <d v="1899-12-30T13:35:12"/>
    <x v="0"/>
    <s v="Class 1"/>
    <x v="0"/>
    <s v="LPT"/>
    <s v="Gombak Toll Plaza"/>
    <s v="Bentong Toll Plaza"/>
    <n v="45"/>
    <s v="Short (0-50km)"/>
    <s v="Off-Peak"/>
    <s v="Weekday"/>
    <n v="12"/>
    <x v="5"/>
    <n v="66.666666666666671"/>
  </r>
  <r>
    <s v="B2024000150"/>
    <d v="2024-06-28T00:00:00"/>
    <d v="1899-12-30T07:05:22"/>
    <d v="1899-12-30T09:05:22"/>
    <x v="2"/>
    <s v="Class 4"/>
    <x v="0"/>
    <s v="LPT"/>
    <s v="Gombak Toll Plaza"/>
    <s v="Gambang Toll Plaza"/>
    <n v="119.99999999999997"/>
    <s v="Long (100-200km)"/>
    <s v="Peak"/>
    <s v="Weekday"/>
    <n v="7"/>
    <x v="5"/>
    <n v="100.00000000000003"/>
  </r>
  <r>
    <s v="C2024000151"/>
    <d v="2024-01-04T00:00:00"/>
    <d v="1899-12-30T06:12:22"/>
    <d v="1899-12-30T06:57:22"/>
    <x v="0"/>
    <s v="Class 1"/>
    <x v="0"/>
    <s v="LPT"/>
    <s v="Gombak Toll Plaza"/>
    <s v="Karak Toll Plaza"/>
    <n v="45"/>
    <s v="Short (0-50km)"/>
    <s v="Off-Peak"/>
    <s v="Weekday"/>
    <n v="6"/>
    <x v="0"/>
    <n v="66.666666666666671"/>
  </r>
  <r>
    <s v="B2024000152"/>
    <d v="2024-01-15T00:00:00"/>
    <d v="1899-12-30T09:50:33"/>
    <d v="1899-12-30T11:50:33"/>
    <x v="2"/>
    <s v="Class 4"/>
    <x v="2"/>
    <s v="LPT"/>
    <s v="Gombak Toll Plaza"/>
    <s v="Gambang Toll Plaza"/>
    <n v="119.99999999999997"/>
    <s v="Long (100-200km)"/>
    <s v="Off-Peak"/>
    <s v="Weekday"/>
    <n v="9"/>
    <x v="0"/>
    <n v="100.00000000000003"/>
  </r>
  <r>
    <s v="L2024000153"/>
    <d v="2024-01-26T00:00:00"/>
    <d v="1899-12-30T17:05:12"/>
    <d v="1899-12-30T19:05:12"/>
    <x v="1"/>
    <s v="Class 2/3"/>
    <x v="1"/>
    <s v="LPT"/>
    <s v="Gombak Toll Plaza"/>
    <s v="Temerloh Toll Plaza"/>
    <n v="119.99999999999989"/>
    <s v="Medium (50-100km)"/>
    <s v="Peak"/>
    <s v="Weekday"/>
    <n v="17"/>
    <x v="0"/>
    <n v="50.00000000000005"/>
  </r>
  <r>
    <s v="C2024000154"/>
    <d v="2024-02-06T00:00:00"/>
    <d v="1899-12-30T12:50:10"/>
    <d v="1899-12-30T13:35:10"/>
    <x v="0"/>
    <s v="Class 1"/>
    <x v="0"/>
    <s v="LPT"/>
    <s v="Gombak Toll Plaza"/>
    <s v="Bentong Toll Plaza"/>
    <n v="45"/>
    <s v="Short (0-50km)"/>
    <s v="Off-Peak"/>
    <s v="Weekday"/>
    <n v="12"/>
    <x v="1"/>
    <n v="66.666666666666671"/>
  </r>
  <r>
    <s v="C2024000155"/>
    <d v="2024-02-18T00:00:00"/>
    <d v="1899-12-30T07:15:33"/>
    <d v="1899-12-30T08:00:33"/>
    <x v="0"/>
    <s v="Class 1"/>
    <x v="2"/>
    <s v="LPT"/>
    <s v="Gombak Toll Plaza"/>
    <s v="Karak Toll Plaza"/>
    <n v="45"/>
    <s v="Short (0-50km)"/>
    <s v="Peak"/>
    <s v="Weekend"/>
    <n v="7"/>
    <x v="1"/>
    <n v="66.666666666666671"/>
  </r>
  <r>
    <s v="B2024000156"/>
    <d v="2024-02-28T00:00:00"/>
    <d v="1899-12-30T09:05:12"/>
    <d v="1899-12-30T11:05:12"/>
    <x v="2"/>
    <s v="Class 4"/>
    <x v="0"/>
    <s v="LPT"/>
    <s v="Gombak Toll Plaza"/>
    <s v="Gambang Toll Plaza"/>
    <n v="119.99999999999997"/>
    <s v="Long (100-200km)"/>
    <s v="Off-Peak"/>
    <s v="Weekday"/>
    <n v="9"/>
    <x v="1"/>
    <n v="100.00000000000003"/>
  </r>
  <r>
    <s v="C2024000157"/>
    <d v="2024-03-11T00:00:00"/>
    <d v="1899-12-30T05:50:33"/>
    <d v="1899-12-30T06:35:33"/>
    <x v="0"/>
    <s v="Class 1"/>
    <x v="2"/>
    <s v="LPT"/>
    <s v="Gombak Toll Plaza"/>
    <s v="Bentong Toll Plaza"/>
    <n v="44.999999999999957"/>
    <s v="Short (0-50km)"/>
    <s v="Off-Peak"/>
    <s v="Weekday"/>
    <n v="5"/>
    <x v="2"/>
    <n v="66.666666666666728"/>
  </r>
  <r>
    <s v="L2024000158"/>
    <d v="2024-03-22T00:00:00"/>
    <d v="1899-12-30T13:12:45"/>
    <d v="1899-12-30T15:12:45"/>
    <x v="1"/>
    <s v="Class 2/3"/>
    <x v="1"/>
    <s v="LPT"/>
    <s v="Gombak Toll Plaza"/>
    <s v="Temerloh Toll Plaza"/>
    <n v="120.00000000000006"/>
    <s v="Medium (50-100km)"/>
    <s v="Off-Peak"/>
    <s v="Weekday"/>
    <n v="13"/>
    <x v="2"/>
    <n v="49.999999999999979"/>
  </r>
  <r>
    <s v="C2024000159"/>
    <d v="2024-04-03T00:00:00"/>
    <d v="1899-12-30T06:25:22"/>
    <d v="1899-12-30T07:10:22"/>
    <x v="0"/>
    <s v="Class 1"/>
    <x v="0"/>
    <s v="LPT"/>
    <s v="Gombak Toll Plaza"/>
    <s v="Karak Toll Plaza"/>
    <n v="45"/>
    <s v="Short (0-50km)"/>
    <s v="Off-Peak"/>
    <s v="Weekday"/>
    <n v="6"/>
    <x v="3"/>
    <n v="66.666666666666671"/>
  </r>
  <r>
    <s v="B2024000160"/>
    <d v="2024-04-14T00:00:00"/>
    <d v="1899-12-30T10:40:10"/>
    <d v="1899-12-30T12:40:10"/>
    <x v="2"/>
    <s v="Class 4"/>
    <x v="2"/>
    <s v="LPT"/>
    <s v="Gombak Toll Plaza"/>
    <s v="Gambang Toll Plaza"/>
    <n v="119.99999999999997"/>
    <s v="Long (100-200km)"/>
    <s v="Off-Peak"/>
    <s v="Weekend"/>
    <n v="10"/>
    <x v="3"/>
    <n v="100.00000000000003"/>
  </r>
  <r>
    <s v="C2024000161"/>
    <d v="2024-04-25T00:00:00"/>
    <d v="1899-12-30T08:05:33"/>
    <d v="1899-12-30T08:50:33"/>
    <x v="0"/>
    <s v="Class 1"/>
    <x v="2"/>
    <s v="LPT"/>
    <s v="Gombak Toll Plaza"/>
    <s v="Bentong Toll Plaza"/>
    <n v="45"/>
    <s v="Short (0-50km)"/>
    <s v="Peak"/>
    <s v="Weekday"/>
    <n v="8"/>
    <x v="3"/>
    <n v="66.666666666666671"/>
  </r>
  <r>
    <s v="L2024000162"/>
    <d v="2024-05-06T00:00:00"/>
    <d v="1899-12-30T15:30:22"/>
    <d v="1899-12-30T17:30:22"/>
    <x v="1"/>
    <s v="Class 2/3"/>
    <x v="1"/>
    <s v="LPT"/>
    <s v="Gombak Toll Plaza"/>
    <s v="Temerloh Toll Plaza"/>
    <n v="119.99999999999989"/>
    <s v="Medium (50-100km)"/>
    <s v="Off-Peak"/>
    <s v="Weekday"/>
    <n v="15"/>
    <x v="4"/>
    <n v="50.00000000000005"/>
  </r>
  <r>
    <s v="C2024000163"/>
    <d v="2024-05-17T00:00:00"/>
    <d v="1899-12-30T07:12:12"/>
    <d v="1899-12-30T07:57:12"/>
    <x v="0"/>
    <s v="Class 1"/>
    <x v="0"/>
    <s v="LPT"/>
    <s v="Gombak Toll Plaza"/>
    <s v="Karak Toll Plaza"/>
    <n v="45"/>
    <s v="Short (0-50km)"/>
    <s v="Peak"/>
    <s v="Weekday"/>
    <n v="7"/>
    <x v="4"/>
    <n v="66.666666666666671"/>
  </r>
  <r>
    <s v="B2024000164"/>
    <d v="2024-05-28T00:00:00"/>
    <d v="1899-12-30T09:50:45"/>
    <d v="1899-12-30T11:50:45"/>
    <x v="2"/>
    <s v="Class 4"/>
    <x v="2"/>
    <s v="LPT"/>
    <s v="Gombak Toll Plaza"/>
    <s v="Gambang Toll Plaza"/>
    <n v="119.99999999999997"/>
    <s v="Long (100-200km)"/>
    <s v="Off-Peak"/>
    <s v="Weekday"/>
    <n v="9"/>
    <x v="4"/>
    <n v="100.00000000000003"/>
  </r>
  <r>
    <s v="C2024000165"/>
    <d v="2024-06-08T00:00:00"/>
    <d v="1899-12-30T06:15:22"/>
    <d v="1899-12-30T07:00:22"/>
    <x v="0"/>
    <s v="Class 1"/>
    <x v="2"/>
    <s v="LPT"/>
    <s v="Gombak Toll Plaza"/>
    <s v="Bentong Toll Plaza"/>
    <n v="45"/>
    <s v="Short (0-50km)"/>
    <s v="Off-Peak"/>
    <s v="Weekend"/>
    <n v="6"/>
    <x v="5"/>
    <n v="66.666666666666671"/>
  </r>
  <r>
    <s v="L2024000166"/>
    <d v="2024-06-19T00:00:00"/>
    <d v="1899-12-30T16:05:12"/>
    <d v="1899-12-30T18:05:12"/>
    <x v="1"/>
    <s v="Class 2/3"/>
    <x v="1"/>
    <s v="LPT"/>
    <s v="Gombak Toll Plaza"/>
    <s v="Temerloh Toll Plaza"/>
    <n v="120.00000000000006"/>
    <s v="Medium (50-100km)"/>
    <s v="Off-Peak"/>
    <s v="Weekday"/>
    <n v="16"/>
    <x v="5"/>
    <n v="49.999999999999979"/>
  </r>
  <r>
    <s v="C2024000167"/>
    <d v="2024-06-30T00:00:00"/>
    <d v="1899-12-30T12:05:33"/>
    <d v="1899-12-30T12:50:33"/>
    <x v="0"/>
    <s v="Class 1"/>
    <x v="0"/>
    <s v="LPT"/>
    <s v="Gombak Toll Plaza"/>
    <s v="Karak Toll Plaza"/>
    <n v="45"/>
    <s v="Short (0-50km)"/>
    <s v="Off-Peak"/>
    <s v="Weekend"/>
    <n v="12"/>
    <x v="5"/>
    <n v="66.666666666666671"/>
  </r>
  <r>
    <s v="B2024000168"/>
    <d v="2024-07-11T00:00:00"/>
    <d v="1899-12-30T07:25:10"/>
    <d v="1899-12-30T09:25:10"/>
    <x v="2"/>
    <s v="Class 4"/>
    <x v="0"/>
    <s v="LPT"/>
    <s v="Gombak Toll Plaza"/>
    <s v="Gambang Toll Plaza"/>
    <n v="119.99999999999997"/>
    <s v="Long (100-200km)"/>
    <s v="Peak"/>
    <s v="Weekday"/>
    <n v="7"/>
    <x v="6"/>
    <n v="100.00000000000003"/>
  </r>
  <r>
    <s v="C2024000169"/>
    <d v="2024-07-22T00:00:00"/>
    <d v="1899-12-30T05:55:12"/>
    <d v="1899-12-30T06:40:12"/>
    <x v="0"/>
    <s v="Class 1"/>
    <x v="2"/>
    <s v="LPT"/>
    <s v="Gombak Toll Plaza"/>
    <s v="Bentong Toll Plaza"/>
    <n v="44.999999999999957"/>
    <s v="Short (0-50km)"/>
    <s v="Off-Peak"/>
    <s v="Weekday"/>
    <n v="5"/>
    <x v="6"/>
    <n v="66.666666666666728"/>
  </r>
  <r>
    <s v="L2024000170"/>
    <d v="2024-08-03T00:00:00"/>
    <d v="1899-12-30T13:40:33"/>
    <d v="1899-12-30T15:40:33"/>
    <x v="1"/>
    <s v="Class 2/3"/>
    <x v="1"/>
    <s v="LPT"/>
    <s v="Gombak Toll Plaza"/>
    <s v="Temerloh Toll Plaza"/>
    <n v="119.99999999999989"/>
    <s v="Medium (50-100km)"/>
    <s v="Off-Peak"/>
    <s v="Weekend"/>
    <n v="13"/>
    <x v="7"/>
    <n v="50.00000000000005"/>
  </r>
  <r>
    <s v="C2024000171"/>
    <d v="2024-08-14T00:00:00"/>
    <d v="1899-12-30T06:05:10"/>
    <d v="1899-12-30T06:50:10"/>
    <x v="0"/>
    <s v="Class 1"/>
    <x v="0"/>
    <s v="LPT"/>
    <s v="Gombak Toll Plaza"/>
    <s v="Karak Toll Plaza"/>
    <n v="45"/>
    <s v="Short (0-50km)"/>
    <s v="Off-Peak"/>
    <s v="Weekday"/>
    <n v="6"/>
    <x v="7"/>
    <n v="66.666666666666671"/>
  </r>
  <r>
    <s v="B2024000172"/>
    <d v="2024-08-25T00:00:00"/>
    <d v="1899-12-30T09:12:22"/>
    <d v="1899-12-30T11:12:22"/>
    <x v="2"/>
    <s v="Class 4"/>
    <x v="2"/>
    <s v="LPT"/>
    <s v="Gombak Toll Plaza"/>
    <s v="Gambang Toll Plaza"/>
    <n v="120.00000000000006"/>
    <s v="Long (100-200km)"/>
    <s v="Off-Peak"/>
    <s v="Weekend"/>
    <n v="9"/>
    <x v="7"/>
    <n v="99.999999999999957"/>
  </r>
  <r>
    <s v="C2024000173"/>
    <d v="2024-09-05T00:00:00"/>
    <d v="1899-12-30T08:50:45"/>
    <d v="1899-12-30T09:35:45"/>
    <x v="0"/>
    <s v="Class 1"/>
    <x v="2"/>
    <s v="LPT"/>
    <s v="Gombak Toll Plaza"/>
    <s v="Bentong Toll Plaza"/>
    <n v="45"/>
    <s v="Short (0-50km)"/>
    <s v="Peak"/>
    <s v="Weekday"/>
    <n v="8"/>
    <x v="8"/>
    <n v="66.666666666666671"/>
  </r>
  <r>
    <s v="L2024000174"/>
    <d v="2024-09-16T00:00:00"/>
    <d v="1899-12-30T15:05:33"/>
    <d v="1899-12-30T17:05:33"/>
    <x v="1"/>
    <s v="Class 2/3"/>
    <x v="1"/>
    <s v="LPT"/>
    <s v="Gombak Toll Plaza"/>
    <s v="Temerloh Toll Plaza"/>
    <n v="119.99999999999989"/>
    <s v="Medium (50-100km)"/>
    <s v="Off-Peak"/>
    <s v="Weekday"/>
    <n v="15"/>
    <x v="8"/>
    <n v="50.00000000000005"/>
  </r>
  <r>
    <s v="C2024000175"/>
    <d v="2024-09-27T00:00:00"/>
    <d v="1899-12-30T07:20:12"/>
    <d v="1899-12-30T08:05:12"/>
    <x v="0"/>
    <s v="Class 1"/>
    <x v="0"/>
    <s v="LPT"/>
    <s v="Gombak Toll Plaza"/>
    <s v="Karak Toll Plaza"/>
    <n v="45"/>
    <s v="Short (0-50km)"/>
    <s v="Peak"/>
    <s v="Weekday"/>
    <n v="7"/>
    <x v="8"/>
    <n v="66.666666666666671"/>
  </r>
  <r>
    <s v="B2024000176"/>
    <d v="2024-10-08T00:00:00"/>
    <d v="1899-12-30T10:05:33"/>
    <d v="1899-12-30T12:05:33"/>
    <x v="2"/>
    <s v="Class 4"/>
    <x v="0"/>
    <s v="LPT"/>
    <s v="Gombak Toll Plaza"/>
    <s v="Gambang Toll Plaza"/>
    <n v="120.00000000000006"/>
    <s v="Long (100-200km)"/>
    <s v="Off-Peak"/>
    <s v="Weekday"/>
    <n v="10"/>
    <x v="9"/>
    <n v="99.999999999999957"/>
  </r>
  <r>
    <s v="C2024000177"/>
    <d v="2024-10-19T00:00:00"/>
    <d v="1899-12-30T06:12:22"/>
    <d v="1899-12-30T06:57:22"/>
    <x v="0"/>
    <s v="Class 1"/>
    <x v="2"/>
    <s v="LPT"/>
    <s v="Gombak Toll Plaza"/>
    <s v="Bentong Toll Plaza"/>
    <n v="45"/>
    <s v="Short (0-50km)"/>
    <s v="Off-Peak"/>
    <s v="Weekend"/>
    <n v="6"/>
    <x v="9"/>
    <n v="66.666666666666671"/>
  </r>
  <r>
    <s v="L2024000178"/>
    <d v="2024-10-30T00:00:00"/>
    <d v="1899-12-30T17:15:45"/>
    <d v="1899-12-30T19:15:45"/>
    <x v="1"/>
    <s v="Class 2/3"/>
    <x v="1"/>
    <s v="LPT"/>
    <s v="Gombak Toll Plaza"/>
    <s v="Temerloh Toll Plaza"/>
    <n v="120.00000000000006"/>
    <s v="Medium (50-100km)"/>
    <s v="Peak"/>
    <s v="Weekday"/>
    <n v="17"/>
    <x v="9"/>
    <n v="49.999999999999979"/>
  </r>
  <r>
    <s v="C2024000179"/>
    <d v="2024-11-10T00:00:00"/>
    <d v="1899-12-30T12:50:12"/>
    <d v="1899-12-30T13:35:12"/>
    <x v="0"/>
    <s v="Class 1"/>
    <x v="0"/>
    <s v="LPT"/>
    <s v="Gombak Toll Plaza"/>
    <s v="Karak Toll Plaza"/>
    <n v="45"/>
    <s v="Short (0-50km)"/>
    <s v="Off-Peak"/>
    <s v="Weekend"/>
    <n v="12"/>
    <x v="10"/>
    <n v="66.666666666666671"/>
  </r>
  <r>
    <s v="B2024000180"/>
    <d v="2024-11-21T00:00:00"/>
    <d v="1899-12-30T07:05:33"/>
    <d v="1899-12-30T09:05:33"/>
    <x v="2"/>
    <s v="Class 4"/>
    <x v="2"/>
    <s v="LPT"/>
    <s v="Gombak Toll Plaza"/>
    <s v="Gambang Toll Plaza"/>
    <n v="119.99999999999997"/>
    <s v="Long (100-200km)"/>
    <s v="Peak"/>
    <s v="Weekday"/>
    <n v="7"/>
    <x v="10"/>
    <n v="100.00000000000003"/>
  </r>
  <r>
    <s v="C2024000181"/>
    <d v="2024-12-02T00:00:00"/>
    <d v="1899-12-30T05:55:22"/>
    <d v="1899-12-30T06:40:22"/>
    <x v="0"/>
    <s v="Class 1"/>
    <x v="2"/>
    <s v="LPT"/>
    <s v="Gombak Toll Plaza"/>
    <s v="Bentong Toll Plaza"/>
    <n v="45.000000000000043"/>
    <s v="Short (0-50km)"/>
    <s v="Off-Peak"/>
    <s v="Weekday"/>
    <n v="5"/>
    <x v="11"/>
    <n v="66.6666666666666"/>
  </r>
  <r>
    <s v="L2024000182"/>
    <d v="2024-12-13T00:00:00"/>
    <d v="1899-12-30T14:40:10"/>
    <d v="1899-12-30T16:40:10"/>
    <x v="1"/>
    <s v="Class 2/3"/>
    <x v="1"/>
    <s v="LPT"/>
    <s v="Gombak Toll Plaza"/>
    <s v="Temerloh Toll Plaza"/>
    <n v="119.99999999999989"/>
    <s v="Medium (50-100km)"/>
    <s v="Off-Peak"/>
    <s v="Weekday"/>
    <n v="14"/>
    <x v="11"/>
    <n v="50.00000000000005"/>
  </r>
  <r>
    <s v="C2024000183"/>
    <d v="2024-12-24T00:00:00"/>
    <d v="1899-12-30T07:12:45"/>
    <d v="1899-12-30T07:57:45"/>
    <x v="0"/>
    <s v="Class 1"/>
    <x v="0"/>
    <s v="LPT"/>
    <s v="Gombak Toll Plaza"/>
    <s v="Karak Toll Plaza"/>
    <n v="45"/>
    <s v="Short (0-50km)"/>
    <s v="Peak"/>
    <s v="Weekday"/>
    <n v="7"/>
    <x v="11"/>
    <n v="66.666666666666671"/>
  </r>
  <r>
    <s v="B2024000184"/>
    <d v="2024-01-04T00:00:00"/>
    <d v="1899-12-30T09:50:12"/>
    <d v="1899-12-30T11:50:12"/>
    <x v="2"/>
    <s v="Class 4"/>
    <x v="0"/>
    <s v="LPT"/>
    <s v="Gombak Toll Plaza"/>
    <s v="Gambang Toll Plaza"/>
    <n v="119.99999999999997"/>
    <s v="Long (100-200km)"/>
    <s v="Off-Peak"/>
    <s v="Weekday"/>
    <n v="9"/>
    <x v="0"/>
    <n v="100.00000000000003"/>
  </r>
  <r>
    <s v="C2024000185"/>
    <d v="2024-01-15T00:00:00"/>
    <d v="1899-12-30T06:15:22"/>
    <d v="1899-12-30T07:00:22"/>
    <x v="0"/>
    <s v="Class 1"/>
    <x v="2"/>
    <s v="LPT"/>
    <s v="Gombak Toll Plaza"/>
    <s v="Bentong Toll Plaza"/>
    <n v="45"/>
    <s v="Short (0-50km)"/>
    <s v="Off-Peak"/>
    <s v="Weekday"/>
    <n v="6"/>
    <x v="0"/>
    <n v="66.666666666666671"/>
  </r>
  <r>
    <s v="L2024000186"/>
    <d v="2024-01-26T00:00:00"/>
    <d v="1899-12-30T16:05:33"/>
    <d v="1899-12-30T18:05:33"/>
    <x v="1"/>
    <s v="Class 2/3"/>
    <x v="1"/>
    <s v="LPT"/>
    <s v="Gombak Toll Plaza"/>
    <s v="Temerloh Toll Plaza"/>
    <n v="120.00000000000006"/>
    <s v="Medium (50-100km)"/>
    <s v="Off-Peak"/>
    <s v="Weekday"/>
    <n v="16"/>
    <x v="0"/>
    <n v="49.999999999999979"/>
  </r>
  <r>
    <s v="C2024000187"/>
    <d v="2024-02-06T00:00:00"/>
    <d v="1899-12-30T12:05:45"/>
    <d v="1899-12-30T12:50:45"/>
    <x v="0"/>
    <s v="Class 1"/>
    <x v="0"/>
    <s v="LPT"/>
    <s v="Gombak Toll Plaza"/>
    <s v="Karak Toll Plaza"/>
    <n v="45"/>
    <s v="Short (0-50km)"/>
    <s v="Off-Peak"/>
    <s v="Weekday"/>
    <n v="12"/>
    <x v="1"/>
    <n v="66.666666666666671"/>
  </r>
  <r>
    <s v="B2024000188"/>
    <d v="2024-02-17T00:00:00"/>
    <d v="1899-12-30T07:25:10"/>
    <d v="1899-12-30T09:25:10"/>
    <x v="2"/>
    <s v="Class 4"/>
    <x v="0"/>
    <s v="LPT"/>
    <s v="Gombak Toll Plaza"/>
    <s v="Gambang Toll Plaza"/>
    <n v="119.99999999999997"/>
    <s v="Long (100-200km)"/>
    <s v="Peak"/>
    <s v="Weekend"/>
    <n v="7"/>
    <x v="1"/>
    <n v="100.00000000000003"/>
  </r>
  <r>
    <s v="C2024000189"/>
    <d v="2024-02-28T00:00:00"/>
    <d v="1899-12-30T05:55:33"/>
    <d v="1899-12-30T06:40:33"/>
    <x v="0"/>
    <s v="Class 1"/>
    <x v="2"/>
    <s v="LPT"/>
    <s v="Gombak Toll Plaza"/>
    <s v="Bentong Toll Plaza"/>
    <n v="45.000000000000043"/>
    <s v="Short (0-50km)"/>
    <s v="Off-Peak"/>
    <s v="Weekday"/>
    <n v="5"/>
    <x v="1"/>
    <n v="66.6666666666666"/>
  </r>
  <r>
    <s v="L2024000190"/>
    <d v="2024-03-10T00:00:00"/>
    <d v="1899-12-30T13:40:22"/>
    <d v="1899-12-30T15:40:22"/>
    <x v="1"/>
    <s v="Class 2/3"/>
    <x v="1"/>
    <s v="LPT"/>
    <s v="Gombak Toll Plaza"/>
    <s v="Temerloh Toll Plaza"/>
    <n v="120.00000000000006"/>
    <s v="Medium (50-100km)"/>
    <s v="Off-Peak"/>
    <s v="Weekend"/>
    <n v="13"/>
    <x v="2"/>
    <n v="49.999999999999979"/>
  </r>
  <r>
    <s v="C2024000191"/>
    <d v="2024-03-21T00:00:00"/>
    <d v="1899-12-30T06:05:12"/>
    <d v="1899-12-30T06:50:12"/>
    <x v="0"/>
    <s v="Class 1"/>
    <x v="0"/>
    <s v="LPT"/>
    <s v="Gombak Toll Plaza"/>
    <s v="Karak Toll Plaza"/>
    <n v="45"/>
    <s v="Short (0-50km)"/>
    <s v="Off-Peak"/>
    <s v="Weekday"/>
    <n v="6"/>
    <x v="2"/>
    <n v="66.666666666666671"/>
  </r>
  <r>
    <s v="B2024000192"/>
    <d v="2024-04-01T00:00:00"/>
    <d v="1899-12-30T09:12:45"/>
    <d v="1899-12-30T11:12:45"/>
    <x v="2"/>
    <s v="Class 4"/>
    <x v="2"/>
    <s v="LPT"/>
    <s v="Gombak Toll Plaza"/>
    <s v="Gambang Toll Plaza"/>
    <n v="119.99999999999997"/>
    <s v="Long (100-200km)"/>
    <s v="Off-Peak"/>
    <s v="Weekday"/>
    <n v="9"/>
    <x v="3"/>
    <n v="100.00000000000003"/>
  </r>
  <r>
    <s v="C2024000193"/>
    <d v="2024-04-12T00:00:00"/>
    <d v="1899-12-30T08:50:33"/>
    <d v="1899-12-30T09:35:33"/>
    <x v="0"/>
    <s v="Class 1"/>
    <x v="2"/>
    <s v="LPT"/>
    <s v="Gombak Toll Plaza"/>
    <s v="Karak Toll Plaza"/>
    <n v="45"/>
    <s v="Short (0-50km)"/>
    <s v="Peak"/>
    <s v="Weekday"/>
    <n v="8"/>
    <x v="3"/>
    <n v="66.666666666666671"/>
  </r>
  <r>
    <s v="L2024000194"/>
    <d v="2024-04-23T00:00:00"/>
    <d v="1899-12-30T15:05:12"/>
    <d v="1899-12-30T17:05:12"/>
    <x v="1"/>
    <s v="Class 2/3"/>
    <x v="1"/>
    <s v="LPT"/>
    <s v="Gombak Toll Plaza"/>
    <s v="Temerloh Toll Plaza"/>
    <n v="120.00000000000006"/>
    <s v="Medium (50-100km)"/>
    <s v="Off-Peak"/>
    <s v="Weekday"/>
    <n v="15"/>
    <x v="3"/>
    <n v="49.999999999999979"/>
  </r>
  <r>
    <s v="C2024000195"/>
    <d v="2024-05-04T00:00:00"/>
    <d v="1899-12-30T07:20:22"/>
    <d v="1899-12-30T08:05:22"/>
    <x v="0"/>
    <s v="Class 1"/>
    <x v="0"/>
    <s v="LPT"/>
    <s v="Gombak Toll Plaza"/>
    <s v="Bentong Toll Plaza"/>
    <n v="45"/>
    <s v="Short (0-50km)"/>
    <s v="Peak"/>
    <s v="Weekend"/>
    <n v="7"/>
    <x v="4"/>
    <n v="66.666666666666671"/>
  </r>
  <r>
    <s v="B2024000196"/>
    <d v="2024-05-15T00:00:00"/>
    <d v="1899-12-30T10:05:10"/>
    <d v="1899-12-30T12:05:10"/>
    <x v="2"/>
    <s v="Class 4"/>
    <x v="0"/>
    <s v="LPT"/>
    <s v="Gombak Toll Plaza"/>
    <s v="Gambang Toll Plaza"/>
    <n v="119.99999999999997"/>
    <s v="Long (100-200km)"/>
    <s v="Off-Peak"/>
    <s v="Weekday"/>
    <n v="10"/>
    <x v="4"/>
    <n v="100.00000000000003"/>
  </r>
  <r>
    <s v="C2024000197"/>
    <d v="2024-05-26T00:00:00"/>
    <d v="1899-12-30T06:12:45"/>
    <d v="1899-12-30T06:57:45"/>
    <x v="0"/>
    <s v="Class 1"/>
    <x v="2"/>
    <s v="LPT"/>
    <s v="Gombak Toll Plaza"/>
    <s v="Karak Toll Plaza"/>
    <n v="45"/>
    <s v="Short (0-50km)"/>
    <s v="Off-Peak"/>
    <s v="Weekend"/>
    <n v="6"/>
    <x v="4"/>
    <n v="66.666666666666671"/>
  </r>
  <r>
    <s v="L2024000198"/>
    <d v="2024-06-06T00:00:00"/>
    <d v="1899-12-30T17:15:33"/>
    <d v="1899-12-30T19:15:33"/>
    <x v="1"/>
    <s v="Class 2/3"/>
    <x v="1"/>
    <s v="LPT"/>
    <s v="Gombak Toll Plaza"/>
    <s v="Temerloh Toll Plaza"/>
    <n v="120.00000000000006"/>
    <s v="Medium (50-100km)"/>
    <s v="Peak"/>
    <s v="Weekday"/>
    <n v="17"/>
    <x v="5"/>
    <n v="49.999999999999979"/>
  </r>
  <r>
    <s v="C2024000199"/>
    <d v="2024-06-17T00:00:00"/>
    <d v="1899-12-30T12:50:12"/>
    <d v="1899-12-30T13:35:12"/>
    <x v="0"/>
    <s v="Class 1"/>
    <x v="0"/>
    <s v="LPT"/>
    <s v="Gombak Toll Plaza"/>
    <s v="Bentong Toll Plaza"/>
    <n v="45"/>
    <s v="Short (0-50km)"/>
    <s v="Off-Peak"/>
    <s v="Weekday"/>
    <n v="12"/>
    <x v="5"/>
    <n v="66.666666666666671"/>
  </r>
  <r>
    <s v="B2024000200"/>
    <d v="2024-06-28T00:00:00"/>
    <d v="1899-12-30T07:05:22"/>
    <d v="1899-12-30T09:05:22"/>
    <x v="2"/>
    <s v="Class 4"/>
    <x v="0"/>
    <s v="LPT"/>
    <s v="Gombak Toll Plaza"/>
    <s v="Gambang Toll Plaza"/>
    <n v="119.99999999999997"/>
    <s v="Long (100-200km)"/>
    <s v="Peak"/>
    <s v="Weekday"/>
    <n v="7"/>
    <x v="5"/>
    <n v="100.00000000000003"/>
  </r>
  <r>
    <s v="C2024000201"/>
    <d v="2024-01-02T00:00:00"/>
    <d v="1899-12-30T06:12:22"/>
    <d v="1899-12-30T06:57:22"/>
    <x v="0"/>
    <s v="Class 1"/>
    <x v="0"/>
    <s v="LPT"/>
    <s v="Gombak Toll Plaza"/>
    <s v="Karak Toll Plaza"/>
    <n v="45"/>
    <s v="Short (0-50km)"/>
    <s v="Off-Peak"/>
    <s v="Weekday"/>
    <n v="6"/>
    <x v="0"/>
    <n v="66.666666666666671"/>
  </r>
  <r>
    <s v="B2024000202"/>
    <d v="2024-01-03T00:00:00"/>
    <d v="1899-12-30T09:50:33"/>
    <d v="1899-12-30T11:50:33"/>
    <x v="2"/>
    <s v="Class 4"/>
    <x v="2"/>
    <s v="LPT"/>
    <s v="Gombak Toll Plaza"/>
    <s v="Gambang Toll Plaza"/>
    <n v="119.99999999999997"/>
    <s v="Long (100-200km)"/>
    <s v="Off-Peak"/>
    <s v="Weekday"/>
    <n v="9"/>
    <x v="0"/>
    <n v="100.00000000000003"/>
  </r>
  <r>
    <s v="L2024000203"/>
    <d v="2024-01-04T00:00:00"/>
    <d v="1899-12-30T17:05:12"/>
    <d v="1899-12-30T19:05:12"/>
    <x v="1"/>
    <s v="Class 2/3"/>
    <x v="1"/>
    <s v="LPT"/>
    <s v="Gombak Toll Plaza"/>
    <s v="Temerloh Toll Plaza"/>
    <n v="119.99999999999989"/>
    <s v="Medium (50-100km)"/>
    <s v="Peak"/>
    <s v="Weekday"/>
    <n v="17"/>
    <x v="0"/>
    <n v="50.00000000000005"/>
  </r>
  <r>
    <s v="C2024000204"/>
    <d v="2024-01-05T00:00:00"/>
    <d v="1899-12-30T12:50:10"/>
    <d v="1899-12-30T13:35:10"/>
    <x v="0"/>
    <s v="Class 1"/>
    <x v="0"/>
    <s v="LPT"/>
    <s v="Gombak Toll Plaza"/>
    <s v="Bentong Toll Plaza"/>
    <n v="45"/>
    <s v="Short (0-50km)"/>
    <s v="Off-Peak"/>
    <s v="Weekday"/>
    <n v="12"/>
    <x v="0"/>
    <n v="66.666666666666671"/>
  </r>
  <r>
    <s v="C2024000205"/>
    <d v="2024-01-06T00:00:00"/>
    <d v="1899-12-30T07:15:33"/>
    <d v="1899-12-30T08:00:33"/>
    <x v="0"/>
    <s v="Class 1"/>
    <x v="2"/>
    <s v="LPT"/>
    <s v="Gombak Toll Plaza"/>
    <s v="Karak Toll Plaza"/>
    <n v="45"/>
    <s v="Short (0-50km)"/>
    <s v="Peak"/>
    <s v="Weekend"/>
    <n v="7"/>
    <x v="0"/>
    <n v="66.666666666666671"/>
  </r>
  <r>
    <s v="B2024000206"/>
    <d v="2024-01-07T00:00:00"/>
    <d v="1899-12-30T09:05:12"/>
    <d v="1899-12-30T11:05:12"/>
    <x v="2"/>
    <s v="Class 4"/>
    <x v="0"/>
    <s v="LPT"/>
    <s v="Gombak Toll Plaza"/>
    <s v="Gambang Toll Plaza"/>
    <n v="119.99999999999997"/>
    <s v="Long (100-200km)"/>
    <s v="Off-Peak"/>
    <s v="Weekend"/>
    <n v="9"/>
    <x v="0"/>
    <n v="100.00000000000003"/>
  </r>
  <r>
    <s v="C2024000207"/>
    <d v="2024-01-08T00:00:00"/>
    <d v="1899-12-30T05:50:33"/>
    <d v="1899-12-30T06:35:33"/>
    <x v="0"/>
    <s v="Class 1"/>
    <x v="2"/>
    <s v="LPT"/>
    <s v="Gombak Toll Plaza"/>
    <s v="Bentong Toll Plaza"/>
    <n v="44.999999999999957"/>
    <s v="Short (0-50km)"/>
    <s v="Off-Peak"/>
    <s v="Weekday"/>
    <n v="5"/>
    <x v="0"/>
    <n v="66.666666666666728"/>
  </r>
  <r>
    <s v="L2024000208"/>
    <d v="2024-01-09T00:00:00"/>
    <d v="1899-12-30T13:12:45"/>
    <d v="1899-12-30T15:12:45"/>
    <x v="1"/>
    <s v="Class 2/3"/>
    <x v="1"/>
    <s v="LPT"/>
    <s v="Gombak Toll Plaza"/>
    <s v="Temerloh Toll Plaza"/>
    <n v="120.00000000000006"/>
    <s v="Medium (50-100km)"/>
    <s v="Off-Peak"/>
    <s v="Weekday"/>
    <n v="13"/>
    <x v="0"/>
    <n v="49.999999999999979"/>
  </r>
  <r>
    <s v="C2024000209"/>
    <d v="2024-01-10T00:00:00"/>
    <d v="1899-12-30T06:25:22"/>
    <d v="1899-12-30T07:10:22"/>
    <x v="0"/>
    <s v="Class 1"/>
    <x v="0"/>
    <s v="LPT"/>
    <s v="Gombak Toll Plaza"/>
    <s v="Karak Toll Plaza"/>
    <n v="45"/>
    <s v="Short (0-50km)"/>
    <s v="Off-Peak"/>
    <s v="Weekday"/>
    <n v="6"/>
    <x v="0"/>
    <n v="66.666666666666671"/>
  </r>
  <r>
    <s v="B2024000210"/>
    <d v="2024-01-11T00:00:00"/>
    <d v="1899-12-30T10:40:10"/>
    <d v="1899-12-30T12:40:10"/>
    <x v="2"/>
    <s v="Class 4"/>
    <x v="2"/>
    <s v="LPT"/>
    <s v="Gombak Toll Plaza"/>
    <s v="Gambang Toll Plaza"/>
    <n v="119.99999999999997"/>
    <s v="Long (100-200km)"/>
    <s v="Off-Peak"/>
    <s v="Weekday"/>
    <n v="10"/>
    <x v="0"/>
    <n v="100.00000000000003"/>
  </r>
  <r>
    <s v="C2024000211"/>
    <d v="2024-01-12T00:00:00"/>
    <d v="1899-12-30T08:05:33"/>
    <d v="1899-12-30T08:50:33"/>
    <x v="0"/>
    <s v="Class 1"/>
    <x v="2"/>
    <s v="LPT"/>
    <s v="Gombak Toll Plaza"/>
    <s v="Bentong Toll Plaza"/>
    <n v="45"/>
    <s v="Short (0-50km)"/>
    <s v="Peak"/>
    <s v="Weekday"/>
    <n v="8"/>
    <x v="0"/>
    <n v="66.666666666666671"/>
  </r>
  <r>
    <s v="L2024000212"/>
    <d v="2024-01-13T00:00:00"/>
    <d v="1899-12-30T15:30:22"/>
    <d v="1899-12-30T17:30:22"/>
    <x v="1"/>
    <s v="Class 2/3"/>
    <x v="1"/>
    <s v="LPT"/>
    <s v="Gombak Toll Plaza"/>
    <s v="Temerloh Toll Plaza"/>
    <n v="119.99999999999989"/>
    <s v="Medium (50-100km)"/>
    <s v="Off-Peak"/>
    <s v="Weekend"/>
    <n v="15"/>
    <x v="0"/>
    <n v="50.00000000000005"/>
  </r>
  <r>
    <s v="C2024000213"/>
    <d v="2024-01-14T00:00:00"/>
    <d v="1899-12-30T07:12:12"/>
    <d v="1899-12-30T07:57:12"/>
    <x v="0"/>
    <s v="Class 1"/>
    <x v="0"/>
    <s v="LPT"/>
    <s v="Gombak Toll Plaza"/>
    <s v="Karak Toll Plaza"/>
    <n v="45"/>
    <s v="Short (0-50km)"/>
    <s v="Peak"/>
    <s v="Weekend"/>
    <n v="7"/>
    <x v="0"/>
    <n v="66.666666666666671"/>
  </r>
  <r>
    <s v="B2024000214"/>
    <d v="2024-01-15T00:00:00"/>
    <d v="1899-12-30T09:50:45"/>
    <d v="1899-12-30T11:50:45"/>
    <x v="2"/>
    <s v="Class 4"/>
    <x v="2"/>
    <s v="LPT"/>
    <s v="Gombak Toll Plaza"/>
    <s v="Gambang Toll Plaza"/>
    <n v="119.99999999999997"/>
    <s v="Long (100-200km)"/>
    <s v="Off-Peak"/>
    <s v="Weekday"/>
    <n v="9"/>
    <x v="0"/>
    <n v="100.00000000000003"/>
  </r>
  <r>
    <s v="C2024000215"/>
    <d v="2024-01-16T00:00:00"/>
    <d v="1899-12-30T06:15:22"/>
    <d v="1899-12-30T07:00:22"/>
    <x v="0"/>
    <s v="Class 1"/>
    <x v="2"/>
    <s v="LPT"/>
    <s v="Gombak Toll Plaza"/>
    <s v="Bentong Toll Plaza"/>
    <n v="45"/>
    <s v="Short (0-50km)"/>
    <s v="Off-Peak"/>
    <s v="Weekday"/>
    <n v="6"/>
    <x v="0"/>
    <n v="66.666666666666671"/>
  </r>
  <r>
    <s v="L2024000216"/>
    <d v="2024-01-17T00:00:00"/>
    <d v="1899-12-30T16:05:12"/>
    <d v="1899-12-30T18:05:12"/>
    <x v="1"/>
    <s v="Class 2/3"/>
    <x v="1"/>
    <s v="LPT"/>
    <s v="Gombak Toll Plaza"/>
    <s v="Temerloh Toll Plaza"/>
    <n v="120.00000000000006"/>
    <s v="Medium (50-100km)"/>
    <s v="Off-Peak"/>
    <s v="Weekday"/>
    <n v="16"/>
    <x v="0"/>
    <n v="49.999999999999979"/>
  </r>
  <r>
    <s v="C2024000217"/>
    <d v="2024-01-18T00:00:00"/>
    <d v="1899-12-30T12:05:33"/>
    <d v="1899-12-30T12:50:33"/>
    <x v="0"/>
    <s v="Class 1"/>
    <x v="0"/>
    <s v="LPT"/>
    <s v="Gombak Toll Plaza"/>
    <s v="Karak Toll Plaza"/>
    <n v="45"/>
    <s v="Short (0-50km)"/>
    <s v="Off-Peak"/>
    <s v="Weekday"/>
    <n v="12"/>
    <x v="0"/>
    <n v="66.666666666666671"/>
  </r>
  <r>
    <s v="B2024000218"/>
    <d v="2024-01-19T00:00:00"/>
    <d v="1899-12-30T07:25:10"/>
    <d v="1899-12-30T09:25:10"/>
    <x v="2"/>
    <s v="Class 4"/>
    <x v="0"/>
    <s v="LPT"/>
    <s v="Gombak Toll Plaza"/>
    <s v="Gambang Toll Plaza"/>
    <n v="119.99999999999997"/>
    <s v="Long (100-200km)"/>
    <s v="Peak"/>
    <s v="Weekday"/>
    <n v="7"/>
    <x v="0"/>
    <n v="100.00000000000003"/>
  </r>
  <r>
    <s v="C2024000219"/>
    <d v="2024-01-20T00:00:00"/>
    <d v="1899-12-30T05:55:12"/>
    <d v="1899-12-30T06:40:12"/>
    <x v="0"/>
    <s v="Class 1"/>
    <x v="2"/>
    <s v="LPT"/>
    <s v="Gombak Toll Plaza"/>
    <s v="Bentong Toll Plaza"/>
    <n v="44.999999999999957"/>
    <s v="Short (0-50km)"/>
    <s v="Off-Peak"/>
    <s v="Weekend"/>
    <n v="5"/>
    <x v="0"/>
    <n v="66.666666666666728"/>
  </r>
  <r>
    <s v="L2024000220"/>
    <d v="2024-01-21T00:00:00"/>
    <d v="1899-12-30T13:40:33"/>
    <d v="1899-12-30T15:40:33"/>
    <x v="1"/>
    <s v="Class 2/3"/>
    <x v="1"/>
    <s v="LPT"/>
    <s v="Gombak Toll Plaza"/>
    <s v="Temerloh Toll Plaza"/>
    <n v="119.99999999999989"/>
    <s v="Medium (50-100km)"/>
    <s v="Off-Peak"/>
    <s v="Weekend"/>
    <n v="13"/>
    <x v="0"/>
    <n v="50.00000000000005"/>
  </r>
  <r>
    <s v="C2024000201"/>
    <d v="2024-01-02T00:00:00"/>
    <d v="1899-12-30T06:12:22"/>
    <n v="0.28983796296296294"/>
    <x v="0"/>
    <s v="Class 1"/>
    <x v="0"/>
    <s v="LPT"/>
    <s v="Gombak Toll Plaza"/>
    <s v="Karak Toll Plaza"/>
    <n v="45"/>
    <s v="Short (0-50km)"/>
    <s v="Off-Peak"/>
    <s v="Weekday"/>
    <n v="6"/>
    <x v="0"/>
    <n v="66.666666666666671"/>
  </r>
  <r>
    <s v="B2024000202"/>
    <d v="2024-01-03T00:00:00"/>
    <d v="1899-12-30T09:50:33"/>
    <n v="0.49343749999999997"/>
    <x v="2"/>
    <s v="Class 4"/>
    <x v="2"/>
    <s v="LPT"/>
    <s v="Gombak Toll Plaza"/>
    <s v="Gambang Toll Plaza"/>
    <n v="119.99999999999997"/>
    <s v="Long (100-200km)"/>
    <s v="Off-Peak"/>
    <s v="Weekday"/>
    <n v="9"/>
    <x v="0"/>
    <n v="100.00000000000003"/>
  </r>
  <r>
    <s v="L2024000203"/>
    <d v="2024-01-04T00:00:00"/>
    <d v="1899-12-30T17:05:12"/>
    <n v="0.79527777777777775"/>
    <x v="1"/>
    <s v="Class 2/3"/>
    <x v="1"/>
    <s v="LPT"/>
    <s v="Gombak Toll Plaza"/>
    <s v="Temerloh Toll Plaza"/>
    <n v="119.99999999999989"/>
    <s v="Medium (50-100km)"/>
    <s v="Peak"/>
    <s v="Weekday"/>
    <n v="17"/>
    <x v="0"/>
    <n v="50.00000000000005"/>
  </r>
  <r>
    <s v="C2024000204"/>
    <d v="2024-01-05T00:00:00"/>
    <d v="1899-12-30T12:50:10"/>
    <n v="0.56608796296296293"/>
    <x v="0"/>
    <s v="Class 1"/>
    <x v="0"/>
    <s v="LPT"/>
    <s v="Gombak Toll Plaza"/>
    <s v="Bentong Toll Plaza"/>
    <n v="45"/>
    <s v="Short (0-50km)"/>
    <s v="Off-Peak"/>
    <s v="Weekday"/>
    <n v="12"/>
    <x v="0"/>
    <n v="66.666666666666671"/>
  </r>
  <r>
    <s v="C2024000205"/>
    <d v="2024-01-06T00:00:00"/>
    <d v="1899-12-30T07:15:33"/>
    <n v="0.33371527777777776"/>
    <x v="0"/>
    <s v="Class 1"/>
    <x v="2"/>
    <s v="LPT"/>
    <s v="Gombak Toll Plaza"/>
    <s v="Karak Toll Plaza"/>
    <n v="45"/>
    <s v="Short (0-50km)"/>
    <s v="Peak"/>
    <s v="Weekend"/>
    <n v="7"/>
    <x v="0"/>
    <n v="66.666666666666671"/>
  </r>
  <r>
    <s v="B2024000206"/>
    <d v="2024-01-07T00:00:00"/>
    <d v="1899-12-30T09:05:12"/>
    <n v="0.46194444444444444"/>
    <x v="2"/>
    <s v="Class 4"/>
    <x v="0"/>
    <s v="LPT"/>
    <s v="Gombak Toll Plaza"/>
    <s v="Gambang Toll Plaza"/>
    <n v="119.99999999999997"/>
    <s v="Long (100-200km)"/>
    <s v="Off-Peak"/>
    <s v="Weekend"/>
    <n v="9"/>
    <x v="0"/>
    <n v="100.00000000000003"/>
  </r>
  <r>
    <s v="C2024000207"/>
    <d v="2024-01-08T00:00:00"/>
    <d v="1899-12-30T05:50:33"/>
    <n v="0.27468749999999997"/>
    <x v="0"/>
    <s v="Class 1"/>
    <x v="2"/>
    <s v="LPT"/>
    <s v="Gombak Toll Plaza"/>
    <s v="Bentong Toll Plaza"/>
    <n v="44.999999999999957"/>
    <s v="Short (0-50km)"/>
    <s v="Off-Peak"/>
    <s v="Weekday"/>
    <n v="5"/>
    <x v="0"/>
    <n v="66.666666666666728"/>
  </r>
  <r>
    <s v="L2024000208"/>
    <d v="2024-01-09T00:00:00"/>
    <d v="1899-12-30T13:12:45"/>
    <n v="0.63385416666666672"/>
    <x v="1"/>
    <s v="Class 2/3"/>
    <x v="1"/>
    <s v="LPT"/>
    <s v="Gombak Toll Plaza"/>
    <s v="Temerloh Toll Plaza"/>
    <n v="120.00000000000006"/>
    <s v="Medium (50-100km)"/>
    <s v="Off-Peak"/>
    <s v="Weekday"/>
    <n v="13"/>
    <x v="0"/>
    <n v="49.999999999999979"/>
  </r>
  <r>
    <s v="C2024000209"/>
    <d v="2024-01-10T00:00:00"/>
    <d v="1899-12-30T06:25:22"/>
    <n v="0.29886574074074074"/>
    <x v="0"/>
    <s v="Class 1"/>
    <x v="0"/>
    <s v="LPT"/>
    <s v="Gombak Toll Plaza"/>
    <s v="Karak Toll Plaza"/>
    <n v="45"/>
    <s v="Short (0-50km)"/>
    <s v="Off-Peak"/>
    <s v="Weekday"/>
    <n v="6"/>
    <x v="0"/>
    <n v="66.666666666666671"/>
  </r>
  <r>
    <s v="B2024000210"/>
    <d v="2024-01-11T00:00:00"/>
    <d v="1899-12-30T10:40:10"/>
    <n v="0.52789351851851851"/>
    <x v="2"/>
    <s v="Class 4"/>
    <x v="2"/>
    <s v="LPT"/>
    <s v="Gombak Toll Plaza"/>
    <s v="Gambang Toll Plaza"/>
    <n v="119.99999999999997"/>
    <s v="Long (100-200km)"/>
    <s v="Off-Peak"/>
    <s v="Weekday"/>
    <n v="10"/>
    <x v="0"/>
    <n v="100.00000000000003"/>
  </r>
  <r>
    <s v="C2024000211"/>
    <d v="2024-01-12T00:00:00"/>
    <d v="1899-12-30T08:05:33"/>
    <n v="0.36843749999999997"/>
    <x v="0"/>
    <s v="Class 1"/>
    <x v="2"/>
    <s v="LPT"/>
    <s v="Gombak Toll Plaza"/>
    <s v="Bentong Toll Plaza"/>
    <n v="45"/>
    <s v="Short (0-50km)"/>
    <s v="Peak"/>
    <s v="Weekday"/>
    <n v="8"/>
    <x v="0"/>
    <n v="66.666666666666671"/>
  </r>
  <r>
    <s v="L2024000212"/>
    <d v="2024-01-13T00:00:00"/>
    <d v="1899-12-30T15:30:22"/>
    <n v="0.72942129629629626"/>
    <x v="1"/>
    <s v="Class 2/3"/>
    <x v="1"/>
    <s v="LPT"/>
    <s v="Gombak Toll Plaza"/>
    <s v="Temerloh Toll Plaza"/>
    <n v="119.99999999999989"/>
    <s v="Medium (50-100km)"/>
    <s v="Off-Peak"/>
    <s v="Weekend"/>
    <n v="15"/>
    <x v="0"/>
    <n v="50.00000000000005"/>
  </r>
  <r>
    <s v="C2024000213"/>
    <d v="2024-01-14T00:00:00"/>
    <d v="1899-12-30T07:12:12"/>
    <n v="0.3313888888888889"/>
    <x v="0"/>
    <s v="Class 1"/>
    <x v="0"/>
    <s v="LPT"/>
    <s v="Gombak Toll Plaza"/>
    <s v="Karak Toll Plaza"/>
    <n v="45"/>
    <s v="Short (0-50km)"/>
    <s v="Peak"/>
    <s v="Weekend"/>
    <n v="7"/>
    <x v="0"/>
    <n v="66.666666666666671"/>
  </r>
  <r>
    <s v="B2024000214"/>
    <d v="2024-01-15T00:00:00"/>
    <d v="1899-12-30T09:50:45"/>
    <n v="0.49357638888888888"/>
    <x v="2"/>
    <s v="Class 4"/>
    <x v="2"/>
    <s v="LPT"/>
    <s v="Gombak Toll Plaza"/>
    <s v="Gambang Toll Plaza"/>
    <n v="119.99999999999997"/>
    <s v="Long (100-200km)"/>
    <s v="Off-Peak"/>
    <s v="Weekday"/>
    <n v="9"/>
    <x v="0"/>
    <n v="100.00000000000003"/>
  </r>
  <r>
    <s v="C2024000215"/>
    <d v="2024-01-16T00:00:00"/>
    <d v="1899-12-30T06:15:22"/>
    <n v="0.29192129629629632"/>
    <x v="0"/>
    <s v="Class 1"/>
    <x v="2"/>
    <s v="LPT"/>
    <s v="Gombak Toll Plaza"/>
    <s v="Bentong Toll Plaza"/>
    <n v="45"/>
    <s v="Short (0-50km)"/>
    <s v="Off-Peak"/>
    <s v="Weekday"/>
    <n v="6"/>
    <x v="0"/>
    <n v="66.666666666666671"/>
  </r>
  <r>
    <s v="L2024000216"/>
    <d v="2024-01-17T00:00:00"/>
    <d v="1899-12-30T16:05:12"/>
    <n v="0.75361111111111112"/>
    <x v="1"/>
    <s v="Class 2/3"/>
    <x v="1"/>
    <s v="LPT"/>
    <s v="Gombak Toll Plaza"/>
    <s v="Temerloh Toll Plaza"/>
    <n v="120.00000000000006"/>
    <s v="Medium (50-100km)"/>
    <s v="Off-Peak"/>
    <s v="Weekday"/>
    <n v="16"/>
    <x v="0"/>
    <n v="49.999999999999979"/>
  </r>
  <r>
    <s v="C2024000217"/>
    <d v="2024-01-18T00:00:00"/>
    <d v="1899-12-30T12:05:33"/>
    <n v="0.53510416666666671"/>
    <x v="0"/>
    <s v="Class 1"/>
    <x v="0"/>
    <s v="LPT"/>
    <s v="Gombak Toll Plaza"/>
    <s v="Karak Toll Plaza"/>
    <n v="45"/>
    <s v="Short (0-50km)"/>
    <s v="Off-Peak"/>
    <s v="Weekday"/>
    <n v="12"/>
    <x v="0"/>
    <n v="66.666666666666671"/>
  </r>
  <r>
    <s v="B2024000218"/>
    <d v="2024-01-19T00:00:00"/>
    <d v="1899-12-30T07:25:10"/>
    <n v="0.39247685185185183"/>
    <x v="2"/>
    <s v="Class 4"/>
    <x v="0"/>
    <s v="LPT"/>
    <s v="Gombak Toll Plaza"/>
    <s v="Gambang Toll Plaza"/>
    <n v="119.99999999999997"/>
    <s v="Long (100-200km)"/>
    <s v="Peak"/>
    <s v="Weekday"/>
    <n v="7"/>
    <x v="0"/>
    <n v="100.00000000000003"/>
  </r>
  <r>
    <s v="C2024000219"/>
    <d v="2024-01-20T00:00:00"/>
    <d v="1899-12-30T05:55:12"/>
    <n v="0.27791666666666665"/>
    <x v="0"/>
    <s v="Class 1"/>
    <x v="2"/>
    <s v="LPT"/>
    <s v="Gombak Toll Plaza"/>
    <s v="Bentong Toll Plaza"/>
    <n v="44.999999999999957"/>
    <s v="Short (0-50km)"/>
    <s v="Off-Peak"/>
    <s v="Weekend"/>
    <n v="5"/>
    <x v="0"/>
    <n v="66.666666666666728"/>
  </r>
  <r>
    <s v="L2024000220"/>
    <d v="2024-01-21T00:00:00"/>
    <d v="1899-12-30T13:40:33"/>
    <n v="0.65315972222222218"/>
    <x v="1"/>
    <s v="Class 2/3"/>
    <x v="1"/>
    <s v="LPT"/>
    <s v="Gombak Toll Plaza"/>
    <s v="Temerloh Toll Plaza"/>
    <n v="119.99999999999989"/>
    <s v="Medium (50-100km)"/>
    <s v="Off-Peak"/>
    <s v="Weekend"/>
    <n v="13"/>
    <x v="0"/>
    <n v="50.00000000000005"/>
  </r>
  <r>
    <s v="C2024000221"/>
    <d v="2024-01-22T00:00:00"/>
    <d v="1899-12-30T06:05:10"/>
    <n v="0.28483796296296299"/>
    <x v="0"/>
    <s v="Class 1"/>
    <x v="0"/>
    <s v="LPT"/>
    <s v="Gombak Toll Plaza"/>
    <s v="Karak Toll Plaza"/>
    <n v="45"/>
    <s v="Short (0-50km)"/>
    <s v="Off-Peak"/>
    <s v="Weekday"/>
    <n v="6"/>
    <x v="0"/>
    <n v="66.666666666666671"/>
  </r>
  <r>
    <s v="B2024000222"/>
    <d v="2024-01-23T00:00:00"/>
    <d v="1899-12-30T09:12:22"/>
    <n v="0.46692129629629631"/>
    <x v="2"/>
    <s v="Class 4"/>
    <x v="2"/>
    <s v="LPT"/>
    <s v="Gombak Toll Plaza"/>
    <s v="Gambang Toll Plaza"/>
    <n v="120.00000000000006"/>
    <s v="Long (100-200km)"/>
    <s v="Off-Peak"/>
    <s v="Weekday"/>
    <n v="9"/>
    <x v="0"/>
    <n v="99.999999999999957"/>
  </r>
  <r>
    <s v="C2024000223"/>
    <d v="2024-01-24T00:00:00"/>
    <d v="1899-12-30T08:50:45"/>
    <n v="0.39982638888888888"/>
    <x v="0"/>
    <s v="Class 1"/>
    <x v="2"/>
    <s v="LPT"/>
    <s v="Gombak Toll Plaza"/>
    <s v="Bentong Toll Plaza"/>
    <n v="45"/>
    <s v="Short (0-50km)"/>
    <s v="Peak"/>
    <s v="Weekday"/>
    <n v="8"/>
    <x v="0"/>
    <n v="66.666666666666671"/>
  </r>
  <r>
    <s v="L2024000224"/>
    <d v="2024-01-25T00:00:00"/>
    <d v="1899-12-30T15:05:33"/>
    <n v="0.71218749999999997"/>
    <x v="1"/>
    <s v="Class 2/3"/>
    <x v="1"/>
    <s v="LPT"/>
    <s v="Gombak Toll Plaza"/>
    <s v="Temerloh Toll Plaza"/>
    <n v="119.99999999999989"/>
    <s v="Medium (50-100km)"/>
    <s v="Off-Peak"/>
    <s v="Weekday"/>
    <n v="15"/>
    <x v="0"/>
    <n v="50.00000000000005"/>
  </r>
  <r>
    <s v="C2024000225"/>
    <d v="2024-01-26T00:00:00"/>
    <d v="1899-12-30T07:20:12"/>
    <n v="0.33694444444444444"/>
    <x v="0"/>
    <s v="Class 1"/>
    <x v="0"/>
    <s v="LPT"/>
    <s v="Gombak Toll Plaza"/>
    <s v="Karak Toll Plaza"/>
    <n v="45"/>
    <s v="Short (0-50km)"/>
    <s v="Peak"/>
    <s v="Weekday"/>
    <n v="7"/>
    <x v="0"/>
    <n v="66.666666666666671"/>
  </r>
  <r>
    <s v="B2024000226"/>
    <d v="2024-01-27T00:00:00"/>
    <d v="1899-12-30T10:05:33"/>
    <n v="0.50385416666666671"/>
    <x v="2"/>
    <s v="Class 4"/>
    <x v="0"/>
    <s v="LPT"/>
    <s v="Gombak Toll Plaza"/>
    <s v="Gambang Toll Plaza"/>
    <n v="120.00000000000006"/>
    <s v="Long (100-200km)"/>
    <s v="Off-Peak"/>
    <s v="Weekend"/>
    <n v="10"/>
    <x v="0"/>
    <n v="99.999999999999957"/>
  </r>
  <r>
    <s v="C2024000227"/>
    <d v="2024-01-28T00:00:00"/>
    <d v="1899-12-30T06:12:22"/>
    <n v="0.28983796296296294"/>
    <x v="0"/>
    <s v="Class 1"/>
    <x v="2"/>
    <s v="LPT"/>
    <s v="Gombak Toll Plaza"/>
    <s v="Bentong Toll Plaza"/>
    <n v="45"/>
    <s v="Short (0-50km)"/>
    <s v="Off-Peak"/>
    <s v="Weekend"/>
    <n v="6"/>
    <x v="0"/>
    <n v="66.666666666666671"/>
  </r>
  <r>
    <s v="L2024000228"/>
    <d v="2024-01-29T00:00:00"/>
    <d v="1899-12-30T17:15:45"/>
    <n v="0.80260416666666667"/>
    <x v="1"/>
    <s v="Class 2/3"/>
    <x v="1"/>
    <s v="LPT"/>
    <s v="Gombak Toll Plaza"/>
    <s v="Temerloh Toll Plaza"/>
    <n v="120.00000000000006"/>
    <s v="Medium (50-100km)"/>
    <s v="Peak"/>
    <s v="Weekday"/>
    <n v="17"/>
    <x v="0"/>
    <n v="49.999999999999979"/>
  </r>
  <r>
    <s v="C2024000229"/>
    <d v="2024-01-30T00:00:00"/>
    <d v="1899-12-30T12:50:12"/>
    <n v="0.56611111111111112"/>
    <x v="0"/>
    <s v="Class 1"/>
    <x v="0"/>
    <s v="LPT"/>
    <s v="Gombak Toll Plaza"/>
    <s v="Karak Toll Plaza"/>
    <n v="45"/>
    <s v="Short (0-50km)"/>
    <s v="Off-Peak"/>
    <s v="Weekday"/>
    <n v="12"/>
    <x v="0"/>
    <n v="66.666666666666671"/>
  </r>
  <r>
    <s v="B2024000230"/>
    <d v="2024-01-31T00:00:00"/>
    <d v="1899-12-30T07:05:22"/>
    <n v="0.37872685185185184"/>
    <x v="2"/>
    <s v="Class 4"/>
    <x v="0"/>
    <s v="LPT"/>
    <s v="Gombak Toll Plaza"/>
    <s v="Gambang Toll Plaza"/>
    <n v="119.99999999999997"/>
    <s v="Long (100-200km)"/>
    <s v="Peak"/>
    <s v="Weekday"/>
    <n v="7"/>
    <x v="0"/>
    <n v="100.0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0ED2E1-BFE8-462A-A323-9F788D127E54}" name="PivotTable14"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7">
    <pivotField dataField="1" showAll="0"/>
    <pivotField numFmtId="14" showAll="0"/>
    <pivotField numFmtId="164" showAll="0"/>
    <pivotField showAll="0"/>
    <pivotField showAll="0"/>
    <pivotField showAll="0"/>
    <pivotField dataField="1" showAll="0"/>
    <pivotField showAll="0"/>
    <pivotField showAll="0"/>
    <pivotField showAll="0"/>
    <pivotField dataField="1" numFmtId="1" showAll="0"/>
    <pivotField showAll="0"/>
    <pivotField showAll="0"/>
    <pivotField showAll="0"/>
    <pivotField showAll="0"/>
    <pivotField showAll="0"/>
    <pivotField dataField="1" numFmtId="1" showAll="0"/>
  </pivotFields>
  <rowItems count="1">
    <i/>
  </rowItems>
  <colFields count="1">
    <field x="-2"/>
  </colFields>
  <colItems count="4">
    <i>
      <x/>
    </i>
    <i i="1">
      <x v="1"/>
    </i>
    <i i="2">
      <x v="2"/>
    </i>
    <i i="3">
      <x v="3"/>
    </i>
  </colItems>
  <dataFields count="4">
    <dataField name="Trips" fld="0" subtotal="count" baseField="0" baseItem="0"/>
    <dataField name="AvgDuration" fld="10" subtotal="average" baseField="0" baseItem="1" numFmtId="1"/>
    <dataField name="AvgSpeed" fld="16" subtotal="average" baseField="0" baseItem="1" numFmtId="1"/>
    <dataField name="PytMethod"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03A1CF-B27F-4CB2-8B4A-4E5DF5B3C07D}" name="PivotTable13"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1:G5" firstHeaderRow="1" firstDataRow="1" firstDataCol="1"/>
  <pivotFields count="17">
    <pivotField dataField="1" showAll="0"/>
    <pivotField numFmtId="14" showAll="0"/>
    <pivotField numFmtId="164" showAll="0"/>
    <pivotField showAll="0"/>
    <pivotField axis="axisRow" showAll="0">
      <items count="5">
        <item x="2"/>
        <item x="0"/>
        <item x="1"/>
        <item m="1" x="3"/>
        <item t="default"/>
      </items>
    </pivotField>
    <pivotField showAll="0"/>
    <pivotField showAll="0"/>
    <pivotField showAll="0"/>
    <pivotField showAll="0"/>
    <pivotField showAll="0"/>
    <pivotField numFmtId="1" showAll="0"/>
    <pivotField showAll="0"/>
    <pivotField showAll="0"/>
    <pivotField showAll="0"/>
    <pivotField showAll="0"/>
    <pivotField showAll="0">
      <items count="14">
        <item x="0"/>
        <item x="1"/>
        <item x="2"/>
        <item x="3"/>
        <item x="4"/>
        <item x="5"/>
        <item x="6"/>
        <item x="7"/>
        <item x="8"/>
        <item x="9"/>
        <item x="10"/>
        <item x="11"/>
        <item m="1" x="12"/>
        <item t="default"/>
      </items>
    </pivotField>
    <pivotField numFmtId="1" showAll="0"/>
  </pivotFields>
  <rowFields count="1">
    <field x="4"/>
  </rowFields>
  <rowItems count="4">
    <i>
      <x/>
    </i>
    <i>
      <x v="1"/>
    </i>
    <i>
      <x v="2"/>
    </i>
    <i t="grand">
      <x/>
    </i>
  </rowItems>
  <colItems count="1">
    <i/>
  </colItems>
  <dataFields count="1">
    <dataField name="Count of TransactionID" fld="0" subtotal="count" baseField="0" baseItem="0"/>
  </dataFields>
  <chartFormats count="12">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4" count="1" selected="0">
            <x v="0"/>
          </reference>
        </references>
      </pivotArea>
    </chartFormat>
    <chartFormat chart="8" format="3">
      <pivotArea type="data" outline="0" fieldPosition="0">
        <references count="2">
          <reference field="4294967294" count="1" selected="0">
            <x v="0"/>
          </reference>
          <reference field="4" count="1" selected="0">
            <x v="1"/>
          </reference>
        </references>
      </pivotArea>
    </chartFormat>
    <chartFormat chart="8" format="4">
      <pivotArea type="data" outline="0" fieldPosition="0">
        <references count="2">
          <reference field="4294967294" count="1" selected="0">
            <x v="0"/>
          </reference>
          <reference field="4" count="1" selected="0">
            <x v="2"/>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4" count="1" selected="0">
            <x v="0"/>
          </reference>
        </references>
      </pivotArea>
    </chartFormat>
    <chartFormat chart="9" format="7">
      <pivotArea type="data" outline="0" fieldPosition="0">
        <references count="2">
          <reference field="4294967294" count="1" selected="0">
            <x v="0"/>
          </reference>
          <reference field="4" count="1" selected="0">
            <x v="1"/>
          </reference>
        </references>
      </pivotArea>
    </chartFormat>
    <chartFormat chart="9" format="8">
      <pivotArea type="data" outline="0" fieldPosition="0">
        <references count="2">
          <reference field="4294967294" count="1" selected="0">
            <x v="0"/>
          </reference>
          <reference field="4" count="1" selected="0">
            <x v="2"/>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4" count="1" selected="0">
            <x v="0"/>
          </reference>
        </references>
      </pivotArea>
    </chartFormat>
    <chartFormat chart="10" format="7">
      <pivotArea type="data" outline="0" fieldPosition="0">
        <references count="2">
          <reference field="4294967294" count="1" selected="0">
            <x v="0"/>
          </reference>
          <reference field="4" count="1" selected="0">
            <x v="1"/>
          </reference>
        </references>
      </pivotArea>
    </chartFormat>
    <chartFormat chart="10"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54196F-EBBB-4501-A15B-E4161E22C561}" name="PivotTable12"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1:J5" firstHeaderRow="1" firstDataRow="1" firstDataCol="1"/>
  <pivotFields count="17">
    <pivotField dataField="1" showAll="0"/>
    <pivotField numFmtId="14" showAll="0"/>
    <pivotField numFmtId="164" showAll="0"/>
    <pivotField showAll="0"/>
    <pivotField showAll="0"/>
    <pivotField showAll="0"/>
    <pivotField axis="axisRow" showAll="0">
      <items count="5">
        <item x="1"/>
        <item x="0"/>
        <item x="2"/>
        <item m="1" x="3"/>
        <item t="default"/>
      </items>
    </pivotField>
    <pivotField showAll="0"/>
    <pivotField showAll="0"/>
    <pivotField showAll="0"/>
    <pivotField numFmtId="1" showAll="0"/>
    <pivotField showAll="0"/>
    <pivotField showAll="0"/>
    <pivotField showAll="0"/>
    <pivotField showAll="0"/>
    <pivotField showAll="0">
      <items count="14">
        <item x="0"/>
        <item x="1"/>
        <item x="2"/>
        <item x="3"/>
        <item x="4"/>
        <item x="5"/>
        <item x="6"/>
        <item x="7"/>
        <item x="8"/>
        <item x="9"/>
        <item x="10"/>
        <item x="11"/>
        <item m="1" x="12"/>
        <item t="default"/>
      </items>
    </pivotField>
    <pivotField numFmtId="1" showAll="0"/>
  </pivotFields>
  <rowFields count="1">
    <field x="6"/>
  </rowFields>
  <rowItems count="4">
    <i>
      <x/>
    </i>
    <i>
      <x v="1"/>
    </i>
    <i>
      <x v="2"/>
    </i>
    <i t="grand">
      <x/>
    </i>
  </rowItems>
  <colItems count="1">
    <i/>
  </colItems>
  <dataFields count="1">
    <dataField name="Count of TransactionID" fld="0"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Type" xr10:uid="{9496F886-4C51-4916-8B3B-F655946E8468}" sourceName="VehicleType">
  <pivotTables>
    <pivotTable tabId="2" name="PivotTable13"/>
  </pivotTables>
  <data>
    <tabular pivotCacheId="1178662029">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7074578-3A82-487F-9FA9-4151EBA927C3}" sourceName="Month">
  <pivotTables>
    <pivotTable tabId="2" name="PivotTable13"/>
  </pivotTables>
  <data>
    <tabular pivotCacheId="1178662029">
      <items count="13">
        <i x="0" s="1"/>
        <i x="1" s="1"/>
        <i x="2" s="1"/>
        <i x="3" s="1"/>
        <i x="4" s="1"/>
        <i x="5" s="1"/>
        <i x="6" s="1"/>
        <i x="7" s="1"/>
        <i x="8" s="1"/>
        <i x="9" s="1"/>
        <i x="10" s="1"/>
        <i x="11"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09A4819-A7F7-491E-AA3E-8630A6D2600A}" sourceName="Month">
  <pivotTables>
    <pivotTable tabId="2" name="PivotTable12"/>
  </pivotTables>
  <data>
    <tabular pivotCacheId="1178662029">
      <items count="13">
        <i x="0" s="1"/>
        <i x="1" s="1"/>
        <i x="2" s="1"/>
        <i x="3" s="1"/>
        <i x="4" s="1"/>
        <i x="5" s="1"/>
        <i x="6" s="1"/>
        <i x="7" s="1"/>
        <i x="8" s="1"/>
        <i x="9" s="1"/>
        <i x="10" s="1"/>
        <i x="11" s="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Type" xr10:uid="{349C5A74-F109-4687-B3B8-47C953DBB974}" cache="Slicer_VehicleType" caption="VehicleType" columnCount="3" rowHeight="257175"/>
  <slicer name="Month" xr10:uid="{486C1A7A-9640-47C5-B54A-2424E71533BD}" cache="Slicer_Month" caption="Month" rowHeight="257175"/>
  <slicer name="Month 1" xr10:uid="{5ACC1911-381F-4F4C-85DE-4F14AC27F045}" cache="Slicer_Month1" caption="Month" columnCount="1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1F2C82-AADF-4C35-B4F5-0E87915EFA2F}" name="Table3" displayName="Table3" ref="A1:Q271" totalsRowShown="0" headerRowDxfId="18" dataDxfId="17">
  <autoFilter ref="A1:Q271" xr:uid="{1E1F2C82-AADF-4C35-B4F5-0E87915EFA2F}"/>
  <tableColumns count="17">
    <tableColumn id="1" xr3:uid="{67A9077B-039B-459E-B29A-1EB0C4446D19}" name="TransactionID" dataDxfId="16"/>
    <tableColumn id="2" xr3:uid="{73CDB2B2-562F-4FBF-BD47-820A5CB56DEB}" name="Date" dataDxfId="15"/>
    <tableColumn id="3" xr3:uid="{96C82A24-FE03-46B5-8EB1-2570B09570A7}" name="EntryTime" dataDxfId="14"/>
    <tableColumn id="4" xr3:uid="{0897EB64-7BF7-4F6A-A4CB-CC9477003F64}" name="ExitTime" dataDxfId="13"/>
    <tableColumn id="5" xr3:uid="{68319A50-D52D-458C-898A-CF64FB406CE7}" name="VehicleType" dataDxfId="12"/>
    <tableColumn id="6" xr3:uid="{8B7CAF9A-9FCF-42AA-BB90-3A2EB6C6B0CA}" name="TollClass" dataDxfId="11"/>
    <tableColumn id="7" xr3:uid="{3AC78916-7BF0-42E0-BCBB-1749B766AAD5}" name="PaymentMethod" dataDxfId="10"/>
    <tableColumn id="8" xr3:uid="{EEC36B1B-38D9-4C2A-9A9F-23D1C2C71A0D}" name="Highway" dataDxfId="9"/>
    <tableColumn id="9" xr3:uid="{CCD1FA74-886E-442B-A701-920A9E2D9E17}" name="EntryPoint" dataDxfId="8"/>
    <tableColumn id="10" xr3:uid="{A2ED82CD-26BE-4129-983A-F99174D95AF4}" name="ExitPoint" dataDxfId="7"/>
    <tableColumn id="11" xr3:uid="{3A254963-D86B-43DF-986C-03EAF72C30CE}" name="TravelDuration(Minutes)" dataDxfId="6">
      <calculatedColumnFormula>IF(D2&lt;C2, ((D2+1)-C2)*1440, (D2-C2)*1440)</calculatedColumnFormula>
    </tableColumn>
    <tableColumn id="12" xr3:uid="{697D25BC-7A6B-48C2-9B77-F47AE7255866}" name="Distance" dataDxfId="5">
      <calculatedColumnFormula array="1">_xlfn.SWITCH(J2,
  "Bentong Toll Plaza", "Short (0-50km)",
  "Karak Toll Plaza", "Short (0-50km)",
  "Lanchang Toll Plaza", "Medium (50-100km)",
  "Temerloh Toll Plaza", "Medium (50-100km)",
  "Chenor Toll Plaza", "Long (100-200km)",
  "Maran Toll Plaza", "Long (100-200km)",
  "Gambang Toll Plaza", "Long (100-200km)",
  "CHECK"
)</calculatedColumnFormula>
    </tableColumn>
    <tableColumn id="13" xr3:uid="{E3D2FFC5-5332-4DE6-8FB8-BE9E97DAF81A}" name="PeakHours" dataDxfId="4">
      <calculatedColumnFormula>IF(OR(
    AND(MOD(C2,1)&gt;=TIME(7,0,0), MOD(C2,1)&lt;=TIME(9,0,0)),
    AND(MOD(C2,1)&gt;=TIME(17,0,0), MOD(C2,1)&lt;=TIME(19,0,0))
), "Peak", "Off-Peak")</calculatedColumnFormula>
    </tableColumn>
    <tableColumn id="14" xr3:uid="{4F480674-2D3D-4BD9-AE68-E5EB36D89D69}" name="DayType" dataDxfId="3">
      <calculatedColumnFormula>IF(WEEKDAY(B2,2)&gt;=6, "Weekend", "Weekday")</calculatedColumnFormula>
    </tableColumn>
    <tableColumn id="15" xr3:uid="{918DA1C6-A775-4CF6-B629-FD385F578726}" name="HourofDay" dataDxfId="2">
      <calculatedColumnFormula>HOUR(C2)</calculatedColumnFormula>
    </tableColumn>
    <tableColumn id="16" xr3:uid="{D7923496-CF40-4B2A-A53E-1511019CF437}" name="Month" dataDxfId="1">
      <calculatedColumnFormula>TEXT(B2,"mmm")</calculatedColumnFormula>
    </tableColumn>
    <tableColumn id="17" xr3:uid="{4F2646D9-3CAF-40B7-86A1-3E7DA88AFABF}" name="AverageSpeed" dataDxfId="0">
      <calculatedColumnFormula>IF(L2="Short (0-50km)", (50/(K2/60)),
 IF(L2="Medium (50-100km)", (100/(K2/60)),
 IF(L2="Long (100-200km)", (200/(K2/60)),
 "Invalid")))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92806-BF59-4EA6-AF02-10F3D22C697A}">
  <dimension ref="A1:U40"/>
  <sheetViews>
    <sheetView tabSelected="1" zoomScale="85" zoomScaleNormal="85" workbookViewId="0">
      <selection sqref="A1:U1"/>
    </sheetView>
  </sheetViews>
  <sheetFormatPr defaultRowHeight="15" x14ac:dyDescent="0.25"/>
  <cols>
    <col min="1" max="1" width="4" style="14" customWidth="1"/>
    <col min="2" max="4" width="9.140625" style="14"/>
    <col min="5" max="7" width="11.7109375" style="14" customWidth="1"/>
    <col min="8" max="8" width="9.140625" style="14"/>
    <col min="9" max="9" width="12.140625" style="14" customWidth="1"/>
    <col min="10" max="10" width="13.85546875" style="14" customWidth="1"/>
    <col min="11" max="11" width="4.42578125" style="14" customWidth="1"/>
    <col min="12" max="12" width="14.5703125" style="14" customWidth="1"/>
    <col min="13" max="14" width="9.140625" style="14"/>
    <col min="15" max="15" width="9.140625" style="14" customWidth="1"/>
    <col min="16" max="16384" width="9.140625" style="14"/>
  </cols>
  <sheetData>
    <row r="1" spans="1:21" ht="43.5" customHeight="1" x14ac:dyDescent="0.25">
      <c r="A1" s="19" t="s">
        <v>136</v>
      </c>
      <c r="B1" s="19"/>
      <c r="C1" s="19"/>
      <c r="D1" s="19"/>
      <c r="E1" s="19"/>
      <c r="F1" s="19"/>
      <c r="G1" s="19"/>
      <c r="H1" s="19"/>
      <c r="I1" s="19"/>
      <c r="J1" s="19"/>
      <c r="K1" s="19"/>
      <c r="L1" s="19"/>
      <c r="M1" s="19"/>
      <c r="N1" s="19"/>
      <c r="O1" s="19"/>
      <c r="P1" s="19"/>
      <c r="Q1" s="19"/>
      <c r="R1" s="19"/>
      <c r="S1" s="19"/>
      <c r="T1" s="19"/>
      <c r="U1" s="19"/>
    </row>
    <row r="2" spans="1:21" ht="15.75" x14ac:dyDescent="0.25">
      <c r="A2" s="18" t="s">
        <v>135</v>
      </c>
      <c r="B2" s="18"/>
      <c r="C2" s="18"/>
      <c r="D2" s="18"/>
      <c r="E2" s="18"/>
      <c r="F2" s="18"/>
      <c r="G2" s="18"/>
      <c r="H2" s="18"/>
      <c r="I2" s="18"/>
      <c r="J2" s="18"/>
      <c r="K2" s="18"/>
      <c r="L2" s="18"/>
      <c r="M2" s="18"/>
      <c r="N2" s="18"/>
      <c r="O2" s="18"/>
      <c r="P2" s="18"/>
      <c r="Q2" s="18"/>
      <c r="R2" s="18"/>
      <c r="S2" s="18"/>
      <c r="T2" s="18"/>
      <c r="U2" s="18"/>
    </row>
    <row r="3" spans="1:21" x14ac:dyDescent="0.25">
      <c r="E3" s="21" t="s">
        <v>141</v>
      </c>
      <c r="F3" s="21"/>
      <c r="G3" s="21"/>
      <c r="J3" s="21" t="s">
        <v>142</v>
      </c>
      <c r="K3" s="21"/>
      <c r="L3" s="21"/>
      <c r="O3" s="21" t="s">
        <v>143</v>
      </c>
      <c r="P3" s="21"/>
      <c r="Q3" s="21"/>
      <c r="R3" s="20"/>
      <c r="S3" s="20"/>
    </row>
    <row r="4" spans="1:21" ht="36" x14ac:dyDescent="0.55000000000000004">
      <c r="E4" s="22">
        <f>GETPIVOTDATA("Trips", Analysis!A2)</f>
        <v>270</v>
      </c>
      <c r="F4" s="22"/>
      <c r="G4" s="22"/>
      <c r="J4" s="40">
        <f>GETPIVOTDATA("AvgDuration", Analysis!C2)</f>
        <v>83.344444444444449</v>
      </c>
      <c r="K4" s="40"/>
      <c r="L4" s="40"/>
      <c r="O4" s="22">
        <f>ROUND(GETPIVOTDATA("AvgSpeed", Analysis!D2),0)</f>
        <v>70</v>
      </c>
      <c r="P4" s="22"/>
      <c r="Q4" s="22"/>
      <c r="R4" s="20"/>
      <c r="S4" s="20"/>
    </row>
    <row r="5" spans="1:21" x14ac:dyDescent="0.25">
      <c r="B5" s="20"/>
      <c r="C5" s="20"/>
      <c r="E5" s="20"/>
      <c r="F5" s="20"/>
      <c r="G5" s="20"/>
      <c r="I5" s="20"/>
      <c r="J5" s="20"/>
      <c r="K5" s="20"/>
      <c r="M5" s="20"/>
      <c r="N5" s="20"/>
      <c r="R5" s="20"/>
      <c r="S5" s="20"/>
    </row>
    <row r="6" spans="1:21" ht="18.75" x14ac:dyDescent="0.3">
      <c r="B6" s="23" t="s">
        <v>145</v>
      </c>
      <c r="C6" s="24"/>
      <c r="D6" s="24"/>
      <c r="E6" s="24"/>
      <c r="F6" s="24"/>
      <c r="G6" s="24"/>
      <c r="H6" s="24"/>
      <c r="I6" s="24"/>
      <c r="J6" s="25"/>
      <c r="L6" s="32" t="s">
        <v>144</v>
      </c>
      <c r="M6" s="32"/>
      <c r="N6" s="32"/>
      <c r="O6" s="32"/>
      <c r="P6" s="32"/>
      <c r="Q6" s="32"/>
      <c r="R6" s="32"/>
      <c r="S6" s="32"/>
      <c r="T6" s="32"/>
      <c r="U6" s="32"/>
    </row>
    <row r="7" spans="1:21" ht="15" customHeight="1" x14ac:dyDescent="0.25">
      <c r="B7" s="26"/>
      <c r="C7" s="27"/>
      <c r="D7" s="27"/>
      <c r="E7" s="27"/>
      <c r="F7" s="27"/>
      <c r="G7" s="27"/>
      <c r="H7" s="27"/>
      <c r="I7" s="27"/>
      <c r="J7" s="28"/>
      <c r="L7" s="33"/>
      <c r="M7" s="33"/>
      <c r="N7" s="33"/>
      <c r="O7" s="33"/>
      <c r="P7" s="33"/>
      <c r="Q7" s="33"/>
      <c r="R7" s="33"/>
      <c r="S7" s="33"/>
      <c r="T7" s="33"/>
      <c r="U7" s="33"/>
    </row>
    <row r="8" spans="1:21" ht="15" customHeight="1" x14ac:dyDescent="0.25">
      <c r="B8" s="26"/>
      <c r="C8" s="27"/>
      <c r="D8" s="27"/>
      <c r="E8" s="27"/>
      <c r="F8" s="27"/>
      <c r="G8" s="27"/>
      <c r="H8" s="27"/>
      <c r="I8" s="27"/>
      <c r="J8" s="28"/>
      <c r="L8" s="33"/>
      <c r="M8" s="33"/>
      <c r="N8" s="33"/>
      <c r="O8" s="33"/>
      <c r="P8" s="33"/>
      <c r="Q8" s="33"/>
      <c r="R8" s="33"/>
      <c r="S8" s="33"/>
      <c r="T8" s="33"/>
      <c r="U8" s="33"/>
    </row>
    <row r="9" spans="1:21" ht="15" customHeight="1" x14ac:dyDescent="0.25">
      <c r="B9" s="26"/>
      <c r="C9" s="27"/>
      <c r="D9" s="27"/>
      <c r="E9" s="27"/>
      <c r="F9" s="27"/>
      <c r="G9" s="27"/>
      <c r="H9" s="27"/>
      <c r="I9" s="27"/>
      <c r="J9" s="28"/>
      <c r="L9" s="33"/>
      <c r="M9" s="33"/>
      <c r="N9" s="33"/>
      <c r="O9" s="33"/>
      <c r="P9" s="33"/>
      <c r="Q9" s="33"/>
      <c r="R9" s="33"/>
      <c r="S9" s="33"/>
      <c r="T9" s="33"/>
      <c r="U9" s="33"/>
    </row>
    <row r="10" spans="1:21" ht="15" customHeight="1" x14ac:dyDescent="0.25">
      <c r="B10" s="26"/>
      <c r="C10" s="27"/>
      <c r="D10" s="27"/>
      <c r="E10" s="27"/>
      <c r="F10" s="27"/>
      <c r="G10" s="27"/>
      <c r="H10" s="27"/>
      <c r="I10" s="27"/>
      <c r="J10" s="28"/>
      <c r="L10" s="33"/>
      <c r="M10" s="33"/>
      <c r="N10" s="33"/>
      <c r="O10" s="33"/>
      <c r="P10" s="33"/>
      <c r="Q10" s="33"/>
      <c r="R10" s="33"/>
      <c r="S10" s="33"/>
      <c r="T10" s="33"/>
      <c r="U10" s="33"/>
    </row>
    <row r="11" spans="1:21" ht="15" customHeight="1" x14ac:dyDescent="0.25">
      <c r="B11" s="26"/>
      <c r="C11" s="27"/>
      <c r="D11" s="27"/>
      <c r="E11" s="27"/>
      <c r="F11" s="27"/>
      <c r="G11" s="27"/>
      <c r="H11" s="27"/>
      <c r="I11" s="27"/>
      <c r="J11" s="28"/>
      <c r="L11" s="33"/>
      <c r="M11" s="33"/>
      <c r="N11" s="33"/>
      <c r="O11" s="33"/>
      <c r="P11" s="33"/>
      <c r="Q11" s="33"/>
      <c r="R11" s="33"/>
      <c r="S11" s="33"/>
      <c r="T11" s="33"/>
      <c r="U11" s="33"/>
    </row>
    <row r="12" spans="1:21" ht="15" customHeight="1" x14ac:dyDescent="0.25">
      <c r="B12" s="26"/>
      <c r="C12" s="27"/>
      <c r="D12" s="27"/>
      <c r="E12" s="27"/>
      <c r="F12" s="27"/>
      <c r="G12" s="27"/>
      <c r="H12" s="27"/>
      <c r="I12" s="27"/>
      <c r="J12" s="28"/>
      <c r="L12" s="33"/>
      <c r="M12" s="33"/>
      <c r="N12" s="33"/>
      <c r="O12" s="33"/>
      <c r="P12" s="33"/>
      <c r="Q12" s="33"/>
      <c r="R12" s="33"/>
      <c r="S12" s="33"/>
      <c r="T12" s="33"/>
      <c r="U12" s="33"/>
    </row>
    <row r="13" spans="1:21" ht="15" customHeight="1" x14ac:dyDescent="0.25">
      <c r="B13" s="26"/>
      <c r="C13" s="27"/>
      <c r="D13" s="27"/>
      <c r="E13" s="27"/>
      <c r="F13" s="27"/>
      <c r="G13" s="27"/>
      <c r="H13" s="27"/>
      <c r="I13" s="27"/>
      <c r="J13" s="28"/>
      <c r="L13" s="33"/>
      <c r="M13" s="33"/>
      <c r="N13" s="33"/>
      <c r="O13" s="33"/>
      <c r="P13" s="33"/>
      <c r="Q13" s="33"/>
      <c r="R13" s="33"/>
      <c r="S13" s="33"/>
      <c r="T13" s="33"/>
      <c r="U13" s="33"/>
    </row>
    <row r="14" spans="1:21" ht="15" customHeight="1" x14ac:dyDescent="0.25">
      <c r="B14" s="26"/>
      <c r="C14" s="27"/>
      <c r="D14" s="27"/>
      <c r="E14" s="27"/>
      <c r="F14" s="27"/>
      <c r="G14" s="27"/>
      <c r="H14" s="27"/>
      <c r="I14" s="27"/>
      <c r="J14" s="28"/>
      <c r="L14" s="33"/>
      <c r="M14" s="33"/>
      <c r="N14" s="33"/>
      <c r="O14" s="33"/>
      <c r="P14" s="33"/>
      <c r="Q14" s="33"/>
      <c r="R14" s="33"/>
      <c r="S14" s="33"/>
      <c r="T14" s="33"/>
      <c r="U14" s="33"/>
    </row>
    <row r="15" spans="1:21" ht="15" customHeight="1" x14ac:dyDescent="0.25">
      <c r="B15" s="26"/>
      <c r="C15" s="27"/>
      <c r="D15" s="27"/>
      <c r="E15" s="27"/>
      <c r="F15" s="27"/>
      <c r="G15" s="27"/>
      <c r="H15" s="27"/>
      <c r="I15" s="27"/>
      <c r="J15" s="28"/>
      <c r="L15" s="33"/>
      <c r="M15" s="33"/>
      <c r="N15" s="33"/>
      <c r="O15" s="33"/>
      <c r="P15" s="33"/>
      <c r="Q15" s="33"/>
      <c r="R15" s="33"/>
      <c r="S15" s="33"/>
      <c r="T15" s="33"/>
      <c r="U15" s="33"/>
    </row>
    <row r="16" spans="1:21" ht="15" customHeight="1" x14ac:dyDescent="0.25">
      <c r="B16" s="26"/>
      <c r="C16" s="27"/>
      <c r="D16" s="27"/>
      <c r="E16" s="27"/>
      <c r="F16" s="27"/>
      <c r="G16" s="27"/>
      <c r="H16" s="27"/>
      <c r="I16" s="27"/>
      <c r="J16" s="28"/>
      <c r="L16" s="33"/>
      <c r="M16" s="33"/>
      <c r="N16" s="33"/>
      <c r="O16" s="33"/>
      <c r="P16" s="33"/>
      <c r="Q16" s="33"/>
      <c r="R16" s="33"/>
      <c r="S16" s="33"/>
      <c r="T16" s="33"/>
      <c r="U16" s="33"/>
    </row>
    <row r="17" spans="2:21" ht="15" customHeight="1" x14ac:dyDescent="0.25">
      <c r="B17" s="26"/>
      <c r="C17" s="27"/>
      <c r="D17" s="27"/>
      <c r="E17" s="27"/>
      <c r="F17" s="27"/>
      <c r="G17" s="27"/>
      <c r="H17" s="27"/>
      <c r="I17" s="27"/>
      <c r="J17" s="28"/>
      <c r="L17" s="33"/>
      <c r="M17" s="33"/>
      <c r="N17" s="33"/>
      <c r="O17" s="33"/>
      <c r="P17" s="33"/>
      <c r="Q17" s="33"/>
      <c r="R17" s="33"/>
      <c r="S17" s="33"/>
      <c r="T17" s="33"/>
      <c r="U17" s="33"/>
    </row>
    <row r="18" spans="2:21" ht="15" customHeight="1" x14ac:dyDescent="0.25">
      <c r="B18" s="26"/>
      <c r="C18" s="27"/>
      <c r="D18" s="27"/>
      <c r="E18" s="27"/>
      <c r="F18" s="27"/>
      <c r="G18" s="27"/>
      <c r="H18" s="27"/>
      <c r="I18" s="27"/>
      <c r="J18" s="28"/>
      <c r="L18" s="33"/>
      <c r="M18" s="33"/>
      <c r="N18" s="33"/>
      <c r="O18" s="33"/>
      <c r="P18" s="33"/>
      <c r="Q18" s="33"/>
      <c r="R18" s="33"/>
      <c r="S18" s="33"/>
      <c r="T18" s="33"/>
      <c r="U18" s="33"/>
    </row>
    <row r="19" spans="2:21" ht="15" customHeight="1" x14ac:dyDescent="0.25">
      <c r="B19" s="26"/>
      <c r="C19" s="27"/>
      <c r="D19" s="27"/>
      <c r="E19" s="27"/>
      <c r="F19" s="27"/>
      <c r="G19" s="27"/>
      <c r="H19" s="27"/>
      <c r="I19" s="27"/>
      <c r="J19" s="28"/>
      <c r="L19" s="33"/>
      <c r="M19" s="33"/>
      <c r="N19" s="33"/>
      <c r="O19" s="33"/>
      <c r="P19" s="33"/>
      <c r="Q19" s="33"/>
      <c r="R19" s="33"/>
      <c r="S19" s="33"/>
      <c r="T19" s="33"/>
      <c r="U19" s="33"/>
    </row>
    <row r="20" spans="2:21" ht="15" customHeight="1" x14ac:dyDescent="0.25">
      <c r="B20" s="26"/>
      <c r="C20" s="27"/>
      <c r="D20" s="27"/>
      <c r="E20" s="27"/>
      <c r="F20" s="27"/>
      <c r="G20" s="27"/>
      <c r="H20" s="27"/>
      <c r="I20" s="27"/>
      <c r="J20" s="28"/>
      <c r="L20" s="33"/>
      <c r="M20" s="33"/>
      <c r="N20" s="33"/>
      <c r="O20" s="33"/>
      <c r="P20" s="33"/>
      <c r="Q20" s="33"/>
      <c r="R20" s="33"/>
      <c r="S20" s="33"/>
      <c r="T20" s="33"/>
      <c r="U20" s="33"/>
    </row>
    <row r="21" spans="2:21" ht="15" customHeight="1" x14ac:dyDescent="0.25">
      <c r="B21" s="26"/>
      <c r="C21" s="27"/>
      <c r="D21" s="27"/>
      <c r="E21" s="27"/>
      <c r="F21" s="27"/>
      <c r="G21" s="27"/>
      <c r="H21" s="27"/>
      <c r="I21" s="27"/>
      <c r="J21" s="28"/>
      <c r="L21" s="33"/>
      <c r="M21" s="33"/>
      <c r="N21" s="33"/>
      <c r="O21" s="33"/>
      <c r="P21" s="33"/>
      <c r="Q21" s="33"/>
      <c r="R21" s="33"/>
      <c r="S21" s="33"/>
      <c r="T21" s="33"/>
      <c r="U21" s="33"/>
    </row>
    <row r="22" spans="2:21" ht="15" customHeight="1" x14ac:dyDescent="0.25">
      <c r="B22" s="26"/>
      <c r="C22" s="27"/>
      <c r="D22" s="27"/>
      <c r="E22" s="27"/>
      <c r="F22" s="27"/>
      <c r="G22" s="27"/>
      <c r="H22" s="27"/>
      <c r="I22" s="27"/>
      <c r="J22" s="28"/>
      <c r="L22" s="33"/>
      <c r="M22" s="33"/>
      <c r="N22" s="33"/>
      <c r="O22" s="33"/>
      <c r="P22" s="33"/>
      <c r="Q22" s="33"/>
      <c r="R22" s="33"/>
      <c r="S22" s="33"/>
      <c r="T22" s="33"/>
      <c r="U22" s="33"/>
    </row>
    <row r="23" spans="2:21" ht="15" customHeight="1" x14ac:dyDescent="0.25">
      <c r="B23" s="26"/>
      <c r="C23" s="27"/>
      <c r="D23" s="27"/>
      <c r="E23" s="27"/>
      <c r="F23" s="27"/>
      <c r="G23" s="27"/>
      <c r="H23" s="27"/>
      <c r="I23" s="27"/>
      <c r="J23" s="28"/>
      <c r="L23" s="33"/>
      <c r="M23" s="33"/>
      <c r="N23" s="33"/>
      <c r="O23" s="33"/>
      <c r="P23" s="33"/>
      <c r="Q23" s="33"/>
      <c r="R23" s="33"/>
      <c r="S23" s="33"/>
      <c r="T23" s="33"/>
      <c r="U23" s="33"/>
    </row>
    <row r="24" spans="2:21" ht="15" customHeight="1" x14ac:dyDescent="0.25">
      <c r="B24" s="26"/>
      <c r="C24" s="27"/>
      <c r="D24" s="27"/>
      <c r="E24" s="27"/>
      <c r="F24" s="27"/>
      <c r="G24" s="27"/>
      <c r="H24" s="27"/>
      <c r="I24" s="27"/>
      <c r="J24" s="28"/>
      <c r="L24" s="33"/>
      <c r="M24" s="33"/>
      <c r="N24" s="33"/>
      <c r="O24" s="33"/>
      <c r="P24" s="33"/>
      <c r="Q24" s="33"/>
      <c r="R24" s="33"/>
      <c r="S24" s="33"/>
      <c r="T24" s="33"/>
      <c r="U24" s="33"/>
    </row>
    <row r="25" spans="2:21" ht="15" customHeight="1" x14ac:dyDescent="0.25">
      <c r="B25" s="26"/>
      <c r="C25" s="27"/>
      <c r="D25" s="27"/>
      <c r="E25" s="27"/>
      <c r="F25" s="27"/>
      <c r="G25" s="27"/>
      <c r="H25" s="27"/>
      <c r="I25" s="27"/>
      <c r="J25" s="28"/>
      <c r="L25" s="33"/>
      <c r="M25" s="33"/>
      <c r="N25" s="33"/>
      <c r="O25" s="33"/>
      <c r="P25" s="33"/>
      <c r="Q25" s="33"/>
      <c r="R25" s="33"/>
      <c r="S25" s="33"/>
      <c r="T25" s="33"/>
      <c r="U25" s="33"/>
    </row>
    <row r="26" spans="2:21" ht="15" customHeight="1" x14ac:dyDescent="0.25">
      <c r="B26" s="26"/>
      <c r="C26" s="27"/>
      <c r="D26" s="27"/>
      <c r="E26" s="27"/>
      <c r="F26" s="27"/>
      <c r="G26" s="27"/>
      <c r="H26" s="27"/>
      <c r="I26" s="27"/>
      <c r="J26" s="28"/>
      <c r="L26" s="33"/>
      <c r="M26" s="33"/>
      <c r="N26" s="33"/>
      <c r="O26" s="33"/>
      <c r="P26" s="33"/>
      <c r="Q26" s="33"/>
      <c r="R26" s="33"/>
      <c r="S26" s="33"/>
      <c r="T26" s="33"/>
      <c r="U26" s="33"/>
    </row>
    <row r="27" spans="2:21" ht="15" customHeight="1" x14ac:dyDescent="0.25">
      <c r="B27" s="26"/>
      <c r="C27" s="27"/>
      <c r="D27" s="27"/>
      <c r="E27" s="27"/>
      <c r="F27" s="27"/>
      <c r="G27" s="27"/>
      <c r="H27" s="27"/>
      <c r="I27" s="27"/>
      <c r="J27" s="28"/>
      <c r="L27" s="33"/>
      <c r="M27" s="33"/>
      <c r="N27" s="33"/>
      <c r="O27" s="33"/>
      <c r="P27" s="33"/>
      <c r="Q27" s="33"/>
      <c r="R27" s="33"/>
      <c r="S27" s="33"/>
      <c r="T27" s="33"/>
      <c r="U27" s="33"/>
    </row>
    <row r="28" spans="2:21" ht="15" customHeight="1" x14ac:dyDescent="0.25">
      <c r="B28" s="26"/>
      <c r="C28" s="27"/>
      <c r="D28" s="27"/>
      <c r="E28" s="27"/>
      <c r="F28" s="27"/>
      <c r="G28" s="27"/>
      <c r="H28" s="27"/>
      <c r="I28" s="27"/>
      <c r="J28" s="28"/>
      <c r="L28" s="33"/>
      <c r="M28" s="33"/>
      <c r="N28" s="33"/>
      <c r="O28" s="33"/>
      <c r="P28" s="33"/>
      <c r="Q28" s="33"/>
      <c r="R28" s="33"/>
      <c r="S28" s="33"/>
      <c r="T28" s="33"/>
      <c r="U28" s="33"/>
    </row>
    <row r="29" spans="2:21" ht="15" customHeight="1" x14ac:dyDescent="0.25">
      <c r="B29" s="29"/>
      <c r="C29" s="30"/>
      <c r="D29" s="30"/>
      <c r="E29" s="30"/>
      <c r="F29" s="30"/>
      <c r="G29" s="30"/>
      <c r="H29" s="30"/>
      <c r="I29" s="30"/>
      <c r="J29" s="31"/>
      <c r="L29" s="33"/>
      <c r="M29" s="33"/>
      <c r="N29" s="33"/>
      <c r="O29" s="33"/>
      <c r="P29" s="33"/>
      <c r="Q29" s="33"/>
      <c r="R29" s="33"/>
      <c r="S29" s="33"/>
      <c r="T29" s="33"/>
      <c r="U29" s="33"/>
    </row>
    <row r="31" spans="2:21" ht="15.75" x14ac:dyDescent="0.25">
      <c r="B31" s="38" t="s">
        <v>150</v>
      </c>
      <c r="C31" s="38"/>
      <c r="D31" s="38"/>
      <c r="E31" s="38"/>
      <c r="F31" s="38"/>
      <c r="G31" s="38"/>
      <c r="H31" s="38"/>
      <c r="I31" s="38"/>
      <c r="J31" s="38"/>
      <c r="K31" s="38"/>
      <c r="L31" s="38"/>
      <c r="M31" s="38"/>
      <c r="N31" s="38"/>
      <c r="O31" s="38"/>
      <c r="P31" s="38"/>
      <c r="Q31" s="38"/>
      <c r="R31" s="38"/>
      <c r="S31" s="38"/>
      <c r="T31" s="38"/>
      <c r="U31" s="38"/>
    </row>
    <row r="32" spans="2:21" ht="15" customHeight="1" x14ac:dyDescent="0.25">
      <c r="B32" s="34" t="s">
        <v>146</v>
      </c>
      <c r="D32" s="35" t="s">
        <v>151</v>
      </c>
      <c r="E32" s="35"/>
      <c r="F32" s="35"/>
      <c r="G32" s="35"/>
      <c r="H32" s="35"/>
      <c r="I32" s="35"/>
      <c r="J32" s="35"/>
      <c r="K32" s="35"/>
      <c r="L32" s="35"/>
      <c r="M32" s="35"/>
      <c r="N32" s="35"/>
      <c r="O32" s="35"/>
      <c r="P32" s="35"/>
      <c r="Q32" s="35"/>
      <c r="R32" s="35"/>
      <c r="S32" s="35"/>
      <c r="T32" s="35"/>
      <c r="U32" s="35"/>
    </row>
    <row r="33" spans="2:21" x14ac:dyDescent="0.25">
      <c r="D33" s="36"/>
      <c r="E33" s="36"/>
      <c r="F33" s="36"/>
      <c r="G33" s="36"/>
      <c r="H33" s="36"/>
      <c r="I33" s="36"/>
      <c r="J33" s="36"/>
      <c r="K33" s="36"/>
      <c r="L33" s="36"/>
      <c r="M33" s="36"/>
    </row>
    <row r="34" spans="2:21" x14ac:dyDescent="0.25">
      <c r="B34" s="34" t="s">
        <v>147</v>
      </c>
      <c r="D34" s="37" t="s">
        <v>286</v>
      </c>
      <c r="E34" s="37"/>
      <c r="F34" s="37"/>
      <c r="G34" s="37"/>
      <c r="H34" s="37"/>
      <c r="I34" s="37"/>
      <c r="J34" s="37"/>
      <c r="K34" s="37"/>
      <c r="L34" s="37"/>
      <c r="M34" s="37"/>
    </row>
    <row r="36" spans="2:21" ht="15" customHeight="1" x14ac:dyDescent="0.25">
      <c r="B36" s="34" t="s">
        <v>148</v>
      </c>
      <c r="D36" s="35" t="s">
        <v>152</v>
      </c>
      <c r="E36" s="35"/>
      <c r="F36" s="35"/>
      <c r="G36" s="35"/>
      <c r="H36" s="35"/>
      <c r="I36" s="35"/>
      <c r="J36" s="35"/>
      <c r="K36" s="35"/>
      <c r="L36" s="35"/>
      <c r="M36" s="35"/>
      <c r="N36" s="35"/>
      <c r="O36" s="35"/>
      <c r="P36" s="35"/>
      <c r="Q36" s="35"/>
      <c r="R36" s="35"/>
      <c r="S36" s="35"/>
      <c r="T36" s="35"/>
      <c r="U36" s="35"/>
    </row>
    <row r="37" spans="2:21" x14ac:dyDescent="0.25">
      <c r="D37" s="36"/>
      <c r="E37" s="36"/>
      <c r="F37" s="36"/>
      <c r="G37" s="36"/>
      <c r="H37" s="36"/>
      <c r="I37" s="36"/>
      <c r="J37" s="36"/>
      <c r="K37" s="36"/>
      <c r="L37" s="36"/>
      <c r="M37" s="36"/>
    </row>
    <row r="38" spans="2:21" x14ac:dyDescent="0.25">
      <c r="B38" s="34" t="s">
        <v>149</v>
      </c>
      <c r="D38" s="37" t="s">
        <v>153</v>
      </c>
      <c r="E38" s="37"/>
      <c r="F38" s="37"/>
      <c r="G38" s="37"/>
      <c r="H38" s="37"/>
      <c r="I38" s="37"/>
      <c r="J38" s="37"/>
      <c r="K38" s="37"/>
      <c r="L38" s="37"/>
      <c r="M38" s="37"/>
    </row>
    <row r="40" spans="2:21" x14ac:dyDescent="0.25">
      <c r="B40" s="34" t="s">
        <v>154</v>
      </c>
      <c r="D40" s="14" t="s">
        <v>155</v>
      </c>
    </row>
  </sheetData>
  <mergeCells count="15">
    <mergeCell ref="D34:M34"/>
    <mergeCell ref="D38:M38"/>
    <mergeCell ref="D32:U32"/>
    <mergeCell ref="D36:U36"/>
    <mergeCell ref="L6:U6"/>
    <mergeCell ref="A1:U1"/>
    <mergeCell ref="A2:U2"/>
    <mergeCell ref="B31:U31"/>
    <mergeCell ref="E3:G3"/>
    <mergeCell ref="E4:G4"/>
    <mergeCell ref="J3:L3"/>
    <mergeCell ref="J4:L4"/>
    <mergeCell ref="O3:Q3"/>
    <mergeCell ref="O4:Q4"/>
    <mergeCell ref="B6:J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FA005-774B-44BD-B0E0-11016A94A3E6}">
  <dimension ref="A1:V22"/>
  <sheetViews>
    <sheetView workbookViewId="0">
      <selection activeCell="B2" sqref="B2"/>
    </sheetView>
  </sheetViews>
  <sheetFormatPr defaultColWidth="7.85546875" defaultRowHeight="15" x14ac:dyDescent="0.25"/>
  <cols>
    <col min="1" max="1" width="5.42578125" style="1" bestFit="1" customWidth="1"/>
    <col min="2" max="2" width="12" style="1" bestFit="1" customWidth="1"/>
    <col min="3" max="3" width="9.85546875" style="1" bestFit="1" customWidth="1"/>
    <col min="4" max="5" width="10.7109375" style="1" bestFit="1" customWidth="1"/>
    <col min="6" max="6" width="13.42578125" style="1" bestFit="1" customWidth="1"/>
    <col min="7" max="7" width="22.140625" style="1" bestFit="1" customWidth="1"/>
    <col min="8" max="8" width="7.85546875" style="1"/>
    <col min="9" max="9" width="13.42578125" style="1" bestFit="1" customWidth="1"/>
    <col min="10" max="10" width="22.140625" style="1" bestFit="1" customWidth="1"/>
    <col min="11" max="16384" width="7.85546875" style="1"/>
  </cols>
  <sheetData>
    <row r="1" spans="1:22" x14ac:dyDescent="0.25">
      <c r="A1" t="s">
        <v>137</v>
      </c>
      <c r="B1" t="s">
        <v>138</v>
      </c>
      <c r="C1" t="s">
        <v>139</v>
      </c>
      <c r="D1" t="s">
        <v>140</v>
      </c>
      <c r="E1"/>
      <c r="F1" s="8" t="s">
        <v>32</v>
      </c>
      <c r="G1" t="s">
        <v>31</v>
      </c>
      <c r="H1"/>
      <c r="I1" s="8" t="s">
        <v>32</v>
      </c>
      <c r="J1" t="s">
        <v>31</v>
      </c>
      <c r="K1"/>
      <c r="N1" s="10"/>
      <c r="S1" s="10"/>
    </row>
    <row r="2" spans="1:22" x14ac:dyDescent="0.25">
      <c r="A2" s="17">
        <v>270</v>
      </c>
      <c r="B2" s="2">
        <v>83.344444444444449</v>
      </c>
      <c r="C2" s="2">
        <v>70.08059399178272</v>
      </c>
      <c r="D2" s="17">
        <v>270</v>
      </c>
      <c r="E2"/>
      <c r="F2" s="9" t="s">
        <v>17</v>
      </c>
      <c r="G2" s="17">
        <v>69</v>
      </c>
      <c r="H2"/>
      <c r="I2" s="9" t="s">
        <v>12</v>
      </c>
      <c r="J2" s="17">
        <v>71</v>
      </c>
      <c r="K2"/>
      <c r="L2"/>
      <c r="N2"/>
      <c r="O2"/>
      <c r="P2"/>
      <c r="Q2"/>
      <c r="S2"/>
      <c r="T2"/>
      <c r="U2"/>
      <c r="V2"/>
    </row>
    <row r="3" spans="1:22" x14ac:dyDescent="0.25">
      <c r="A3"/>
      <c r="B3"/>
      <c r="C3"/>
      <c r="E3"/>
      <c r="F3" s="9" t="s">
        <v>10</v>
      </c>
      <c r="G3" s="17">
        <v>134</v>
      </c>
      <c r="H3"/>
      <c r="I3" s="9" t="s">
        <v>16</v>
      </c>
      <c r="J3" s="17">
        <v>105</v>
      </c>
      <c r="K3"/>
      <c r="L3"/>
      <c r="N3"/>
      <c r="O3"/>
      <c r="P3"/>
      <c r="Q3"/>
      <c r="S3"/>
      <c r="T3"/>
      <c r="U3"/>
      <c r="V3"/>
    </row>
    <row r="4" spans="1:22" x14ac:dyDescent="0.25">
      <c r="A4"/>
      <c r="B4"/>
      <c r="C4"/>
      <c r="E4"/>
      <c r="F4" s="9" t="s">
        <v>15</v>
      </c>
      <c r="G4" s="17">
        <v>67</v>
      </c>
      <c r="H4"/>
      <c r="I4" s="9" t="s">
        <v>14</v>
      </c>
      <c r="J4" s="17">
        <v>94</v>
      </c>
      <c r="K4"/>
      <c r="L4"/>
      <c r="N4"/>
      <c r="O4"/>
      <c r="P4"/>
      <c r="Q4"/>
      <c r="S4"/>
      <c r="T4"/>
      <c r="U4"/>
      <c r="V4"/>
    </row>
    <row r="5" spans="1:22" x14ac:dyDescent="0.25">
      <c r="A5"/>
      <c r="B5"/>
      <c r="C5"/>
      <c r="E5"/>
      <c r="F5" s="9" t="s">
        <v>33</v>
      </c>
      <c r="G5" s="17">
        <v>270</v>
      </c>
      <c r="H5"/>
      <c r="I5" s="9" t="s">
        <v>33</v>
      </c>
      <c r="J5" s="17">
        <v>270</v>
      </c>
      <c r="K5"/>
      <c r="L5"/>
      <c r="N5"/>
      <c r="O5"/>
      <c r="P5"/>
      <c r="Q5"/>
      <c r="S5"/>
      <c r="T5"/>
      <c r="U5"/>
      <c r="V5"/>
    </row>
    <row r="6" spans="1:22" x14ac:dyDescent="0.25">
      <c r="A6"/>
      <c r="B6"/>
      <c r="C6"/>
      <c r="E6"/>
      <c r="F6"/>
      <c r="G6"/>
      <c r="H6"/>
      <c r="I6"/>
      <c r="J6"/>
      <c r="K6"/>
      <c r="N6"/>
      <c r="O6"/>
      <c r="P6"/>
      <c r="Q6"/>
      <c r="S6"/>
      <c r="T6"/>
      <c r="U6"/>
      <c r="V6"/>
    </row>
    <row r="7" spans="1:22" x14ac:dyDescent="0.25">
      <c r="A7"/>
      <c r="B7"/>
      <c r="C7"/>
      <c r="E7"/>
      <c r="F7"/>
      <c r="G7"/>
      <c r="H7"/>
      <c r="I7"/>
      <c r="J7"/>
      <c r="K7"/>
    </row>
    <row r="8" spans="1:22" x14ac:dyDescent="0.25">
      <c r="A8"/>
      <c r="B8"/>
      <c r="C8"/>
      <c r="E8"/>
      <c r="F8"/>
      <c r="G8"/>
      <c r="H8"/>
      <c r="I8"/>
      <c r="J8"/>
      <c r="K8"/>
    </row>
    <row r="9" spans="1:22" x14ac:dyDescent="0.25">
      <c r="A9"/>
      <c r="B9"/>
      <c r="C9"/>
      <c r="E9"/>
      <c r="F9"/>
      <c r="G9"/>
      <c r="H9"/>
      <c r="I9"/>
      <c r="J9"/>
      <c r="K9"/>
    </row>
    <row r="10" spans="1:22" x14ac:dyDescent="0.25">
      <c r="A10"/>
      <c r="B10"/>
      <c r="C10"/>
      <c r="E10"/>
      <c r="F10"/>
      <c r="G10"/>
      <c r="H10"/>
      <c r="I10"/>
      <c r="J10"/>
      <c r="K10"/>
    </row>
    <row r="11" spans="1:22" x14ac:dyDescent="0.25">
      <c r="A11"/>
      <c r="B11"/>
      <c r="C11"/>
      <c r="E11"/>
      <c r="F11"/>
      <c r="G11"/>
      <c r="H11"/>
      <c r="I11"/>
      <c r="J11"/>
      <c r="K11"/>
    </row>
    <row r="12" spans="1:22" x14ac:dyDescent="0.25">
      <c r="A12"/>
      <c r="B12"/>
      <c r="C12"/>
      <c r="E12"/>
      <c r="F12"/>
      <c r="G12"/>
      <c r="H12"/>
      <c r="I12"/>
      <c r="J12"/>
      <c r="K12"/>
    </row>
    <row r="13" spans="1:22" x14ac:dyDescent="0.25">
      <c r="A13"/>
      <c r="B13"/>
      <c r="C13"/>
      <c r="E13"/>
      <c r="F13"/>
      <c r="G13"/>
      <c r="H13"/>
      <c r="I13"/>
      <c r="J13"/>
      <c r="K13"/>
    </row>
    <row r="14" spans="1:22" x14ac:dyDescent="0.25">
      <c r="A14"/>
      <c r="B14"/>
      <c r="C14"/>
      <c r="E14"/>
      <c r="F14"/>
      <c r="G14"/>
      <c r="H14"/>
      <c r="I14"/>
      <c r="J14"/>
      <c r="K14"/>
    </row>
    <row r="15" spans="1:22" x14ac:dyDescent="0.25">
      <c r="A15"/>
      <c r="B15"/>
      <c r="C15"/>
      <c r="E15"/>
      <c r="F15"/>
      <c r="G15"/>
      <c r="H15"/>
      <c r="I15"/>
      <c r="J15"/>
      <c r="K15"/>
    </row>
    <row r="16" spans="1:22" x14ac:dyDescent="0.25">
      <c r="A16"/>
      <c r="B16"/>
      <c r="C16"/>
      <c r="E16"/>
      <c r="F16"/>
      <c r="G16"/>
      <c r="H16"/>
      <c r="I16"/>
      <c r="J16"/>
      <c r="K16"/>
    </row>
    <row r="17" spans="1:11" x14ac:dyDescent="0.25">
      <c r="A17"/>
      <c r="B17"/>
      <c r="C17"/>
      <c r="E17"/>
      <c r="F17"/>
      <c r="G17"/>
      <c r="H17"/>
      <c r="I17"/>
      <c r="J17"/>
      <c r="K17"/>
    </row>
    <row r="18" spans="1:11" x14ac:dyDescent="0.25">
      <c r="A18"/>
      <c r="B18"/>
      <c r="C18"/>
      <c r="E18"/>
      <c r="F18"/>
      <c r="G18"/>
      <c r="H18"/>
      <c r="I18"/>
      <c r="J18"/>
      <c r="K18"/>
    </row>
    <row r="19" spans="1:11" x14ac:dyDescent="0.25">
      <c r="A19"/>
      <c r="B19"/>
      <c r="C19"/>
      <c r="E19"/>
      <c r="F19"/>
      <c r="G19"/>
    </row>
    <row r="20" spans="1:11" x14ac:dyDescent="0.25">
      <c r="E20"/>
      <c r="F20"/>
      <c r="G20"/>
    </row>
    <row r="21" spans="1:11" x14ac:dyDescent="0.25">
      <c r="E21"/>
      <c r="F21"/>
      <c r="G21"/>
    </row>
    <row r="22" spans="1:11" x14ac:dyDescent="0.25">
      <c r="E22"/>
      <c r="F22"/>
      <c r="G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4BC41-D604-419D-8294-9854DB45E989}">
  <dimension ref="A1:R271"/>
  <sheetViews>
    <sheetView topLeftCell="A267" zoomScale="70" zoomScaleNormal="70" workbookViewId="0">
      <selection activeCell="A272" sqref="A272:XFD272"/>
    </sheetView>
  </sheetViews>
  <sheetFormatPr defaultRowHeight="15" x14ac:dyDescent="0.25"/>
  <cols>
    <col min="1" max="1" width="15.140625" style="13" customWidth="1"/>
    <col min="2" max="2" width="11.5703125" style="15" bestFit="1" customWidth="1"/>
    <col min="3" max="3" width="14.5703125" style="16" bestFit="1" customWidth="1"/>
    <col min="4" max="4" width="11.5703125" style="13" bestFit="1" customWidth="1"/>
    <col min="5" max="5" width="14.140625" style="13" customWidth="1"/>
    <col min="6" max="6" width="10.85546875" style="13" customWidth="1"/>
    <col min="7" max="7" width="18.140625" style="13" customWidth="1"/>
    <col min="8" max="8" width="10.7109375" style="13" customWidth="1"/>
    <col min="9" max="9" width="17.7109375" style="13" bestFit="1" customWidth="1"/>
    <col min="10" max="10" width="18.5703125" style="13" bestFit="1" customWidth="1"/>
    <col min="11" max="11" width="25.140625" customWidth="1"/>
    <col min="12" max="12" width="18.7109375" bestFit="1" customWidth="1"/>
    <col min="13" max="13" width="12.5703125" customWidth="1"/>
    <col min="14" max="14" width="10.7109375" customWidth="1"/>
    <col min="15" max="15" width="12.5703125" customWidth="1"/>
    <col min="16" max="16" width="9.140625" customWidth="1"/>
    <col min="17" max="17" width="16.140625" style="2" bestFit="1" customWidth="1"/>
    <col min="18" max="18" width="11.28515625" bestFit="1" customWidth="1"/>
  </cols>
  <sheetData>
    <row r="1" spans="1:18" x14ac:dyDescent="0.25">
      <c r="A1" s="4" t="s">
        <v>0</v>
      </c>
      <c r="B1" s="11" t="s">
        <v>1</v>
      </c>
      <c r="C1" s="5" t="s">
        <v>2</v>
      </c>
      <c r="D1" s="4" t="s">
        <v>3</v>
      </c>
      <c r="E1" s="4" t="s">
        <v>4</v>
      </c>
      <c r="F1" s="4" t="s">
        <v>5</v>
      </c>
      <c r="G1" s="4" t="s">
        <v>6</v>
      </c>
      <c r="H1" s="4" t="s">
        <v>7</v>
      </c>
      <c r="I1" s="4" t="s">
        <v>8</v>
      </c>
      <c r="J1" s="4" t="s">
        <v>9</v>
      </c>
      <c r="K1" s="4" t="s">
        <v>27</v>
      </c>
      <c r="L1" s="4" t="s">
        <v>25</v>
      </c>
      <c r="M1" s="4" t="s">
        <v>28</v>
      </c>
      <c r="N1" s="4" t="s">
        <v>29</v>
      </c>
      <c r="O1" s="4" t="s">
        <v>30</v>
      </c>
      <c r="P1" s="4" t="s">
        <v>26</v>
      </c>
      <c r="Q1" s="12" t="s">
        <v>34</v>
      </c>
    </row>
    <row r="2" spans="1:18" x14ac:dyDescent="0.25">
      <c r="A2" s="4" t="s">
        <v>35</v>
      </c>
      <c r="B2" s="11">
        <v>45292</v>
      </c>
      <c r="C2" s="5">
        <v>5.0520833333333334E-2</v>
      </c>
      <c r="D2" s="5">
        <v>8.59375E-2</v>
      </c>
      <c r="E2" s="4" t="s">
        <v>10</v>
      </c>
      <c r="F2" s="4" t="s">
        <v>11</v>
      </c>
      <c r="G2" s="4" t="s">
        <v>16</v>
      </c>
      <c r="H2" s="4" t="s">
        <v>13</v>
      </c>
      <c r="I2" s="4" t="s">
        <v>19</v>
      </c>
      <c r="J2" s="4" t="s">
        <v>24</v>
      </c>
      <c r="K2" s="6">
        <f>IF(D2&lt;C2, ((D2+1)-C2)*1440, (D2-C2)*1440)</f>
        <v>51</v>
      </c>
      <c r="L2" s="7" t="str" cm="1">
        <f t="array" ref="L2">_xlfn.SWITCH(J2,
  "Bentong Toll Plaza", "Short (0-50km)",
  "Karak Toll Plaza", "Short (0-50km)",
  "Lanchang Toll Plaza", "Medium (50-100km)",
  "Temerloh Toll Plaza", "Medium (50-100km)",
  "Chenor Toll Plaza", "Long (100-200km)",
  "Maran Toll Plaza", "Long (100-200km)",
  "Gambang Toll Plaza", "Long (100-200km)",
  "CHECK"
)</f>
        <v>Short (0-50km)</v>
      </c>
      <c r="M2" s="7" t="str">
        <f t="shared" ref="M2:M65" si="0">IF(OR(
    AND(MOD(C2,1)&gt;=TIME(7,0,0), MOD(C2,1)&lt;=TIME(9,0,0)),
    AND(MOD(C2,1)&gt;=TIME(17,0,0), MOD(C2,1)&lt;=TIME(19,0,0))
), "Peak", "Off-Peak")</f>
        <v>Off-Peak</v>
      </c>
      <c r="N2" s="7" t="str">
        <f>IF(WEEKDAY(B2,2)&gt;=6, "Weekend", "Weekday")</f>
        <v>Weekday</v>
      </c>
      <c r="O2" s="7">
        <f>HOUR(C2)</f>
        <v>1</v>
      </c>
      <c r="P2" s="7" t="str">
        <f>TEXT(B2,"mmm")</f>
        <v>Jan</v>
      </c>
      <c r="Q2" s="6">
        <f>IF(L2="Short (0-50km)", (50/(K2/60)),
 IF(L2="Medium (50-100km)", (100/(K2/60)),
 IF(L2="Long (100-200km)", (200/(K2/60)),
 "Invalid")))</f>
        <v>58.82352941176471</v>
      </c>
      <c r="R2" s="3"/>
    </row>
    <row r="3" spans="1:18" x14ac:dyDescent="0.25">
      <c r="A3" s="4" t="s">
        <v>36</v>
      </c>
      <c r="B3" s="11">
        <v>45292</v>
      </c>
      <c r="C3" s="5">
        <v>0.31611111111111112</v>
      </c>
      <c r="D3" s="5">
        <v>0.40986111111111112</v>
      </c>
      <c r="E3" s="4" t="s">
        <v>15</v>
      </c>
      <c r="F3" s="4" t="s">
        <v>23</v>
      </c>
      <c r="G3" s="4" t="s">
        <v>12</v>
      </c>
      <c r="H3" s="4" t="s">
        <v>13</v>
      </c>
      <c r="I3" s="4" t="s">
        <v>19</v>
      </c>
      <c r="J3" s="4" t="s">
        <v>21</v>
      </c>
      <c r="K3" s="6">
        <f t="shared" ref="K3:K66" si="1">IF(D3&lt;C3, ((D3+1)-C3)*1440, (D3-C3)*1440)</f>
        <v>135</v>
      </c>
      <c r="L3" s="7" t="str" cm="1">
        <f t="array" ref="L3">_xlfn.SWITCH(J3,
  "Bentong Toll Plaza", "Short (0-50km)",
  "Karak Toll Plaza", "Short (0-50km)",
  "Lanchang Toll Plaza", "Medium (50-100km)",
  "Temerloh Toll Plaza", "Medium (50-100km)",
  "Chenor Toll Plaza", "Long (100-200km)",
  "Maran Toll Plaza", "Long (100-200km)",
  "Gambang Toll Plaza", "Long (100-200km)",
  "CHECK"
)</f>
        <v>Medium (50-100km)</v>
      </c>
      <c r="M3" s="7" t="str">
        <f t="shared" si="0"/>
        <v>Peak</v>
      </c>
      <c r="N3" s="7" t="str">
        <f t="shared" ref="N3:N66" si="2">IF(WEEKDAY(B3,2)&gt;=6, "Weekend", "Weekday")</f>
        <v>Weekday</v>
      </c>
      <c r="O3" s="7">
        <f t="shared" ref="O3:O66" si="3">HOUR(C3)</f>
        <v>7</v>
      </c>
      <c r="P3" s="7" t="str">
        <f t="shared" ref="P3:P66" si="4">TEXT(B3,"mmm")</f>
        <v>Jan</v>
      </c>
      <c r="Q3" s="6">
        <f t="shared" ref="Q3:Q66" si="5">IF(L3="Short (0-50km)", (50/(K3/60)),
 IF(L3="Medium (50-100km)", (100/(K3/60)),
 IF(L3="Long (100-200km)", (200/(K3/60)),
 "Invalid")))</f>
        <v>44.444444444444443</v>
      </c>
      <c r="R3" s="3"/>
    </row>
    <row r="4" spans="1:18" x14ac:dyDescent="0.25">
      <c r="A4" s="4" t="s">
        <v>37</v>
      </c>
      <c r="B4" s="11">
        <v>45292</v>
      </c>
      <c r="C4" s="5">
        <v>0.68061342592592589</v>
      </c>
      <c r="D4" s="5">
        <v>0.71880787037037042</v>
      </c>
      <c r="E4" s="4" t="s">
        <v>10</v>
      </c>
      <c r="F4" s="4" t="s">
        <v>11</v>
      </c>
      <c r="G4" s="4" t="s">
        <v>14</v>
      </c>
      <c r="H4" s="4" t="s">
        <v>13</v>
      </c>
      <c r="I4" s="4" t="s">
        <v>19</v>
      </c>
      <c r="J4" s="4" t="s">
        <v>22</v>
      </c>
      <c r="K4" s="6">
        <f t="shared" si="1"/>
        <v>55.000000000000128</v>
      </c>
      <c r="L4" s="7" t="str" cm="1">
        <f t="array" ref="L4">_xlfn.SWITCH(J4,
  "Bentong Toll Plaza", "Short (0-50km)",
  "Karak Toll Plaza", "Short (0-50km)",
  "Lanchang Toll Plaza", "Medium (50-100km)",
  "Temerloh Toll Plaza", "Medium (50-100km)",
  "Chenor Toll Plaza", "Long (100-200km)",
  "Maran Toll Plaza", "Long (100-200km)",
  "Gambang Toll Plaza", "Long (100-200km)",
  "CHECK"
)</f>
        <v>Short (0-50km)</v>
      </c>
      <c r="M4" s="7" t="str">
        <f t="shared" si="0"/>
        <v>Off-Peak</v>
      </c>
      <c r="N4" s="7" t="str">
        <f t="shared" si="2"/>
        <v>Weekday</v>
      </c>
      <c r="O4" s="7">
        <f t="shared" si="3"/>
        <v>16</v>
      </c>
      <c r="P4" s="7" t="str">
        <f t="shared" si="4"/>
        <v>Jan</v>
      </c>
      <c r="Q4" s="6">
        <f t="shared" si="5"/>
        <v>54.545454545454419</v>
      </c>
      <c r="R4" s="3"/>
    </row>
    <row r="5" spans="1:18" x14ac:dyDescent="0.25">
      <c r="A5" s="4" t="s">
        <v>38</v>
      </c>
      <c r="B5" s="11">
        <v>45292</v>
      </c>
      <c r="C5" s="5">
        <v>0.20177083333333334</v>
      </c>
      <c r="D5" s="5">
        <v>0.28510416666666666</v>
      </c>
      <c r="E5" s="4" t="s">
        <v>17</v>
      </c>
      <c r="F5" s="4" t="s">
        <v>18</v>
      </c>
      <c r="G5" s="4" t="s">
        <v>16</v>
      </c>
      <c r="H5" s="4" t="s">
        <v>13</v>
      </c>
      <c r="I5" s="4" t="s">
        <v>19</v>
      </c>
      <c r="J5" s="4" t="s">
        <v>20</v>
      </c>
      <c r="K5" s="6">
        <f t="shared" si="1"/>
        <v>119.99999999999997</v>
      </c>
      <c r="L5" s="7" t="str" cm="1">
        <f t="array" ref="L5">_xlfn.SWITCH(J5,
  "Bentong Toll Plaza", "Short (0-50km)",
  "Karak Toll Plaza", "Short (0-50km)",
  "Lanchang Toll Plaza", "Medium (50-100km)",
  "Temerloh Toll Plaza", "Medium (50-100km)",
  "Chenor Toll Plaza", "Long (100-200km)",
  "Maran Toll Plaza", "Long (100-200km)",
  "Gambang Toll Plaza", "Long (100-200km)",
  "CHECK"
)</f>
        <v>Long (100-200km)</v>
      </c>
      <c r="M5" s="7" t="str">
        <f t="shared" si="0"/>
        <v>Off-Peak</v>
      </c>
      <c r="N5" s="7" t="str">
        <f t="shared" si="2"/>
        <v>Weekday</v>
      </c>
      <c r="O5" s="7">
        <f t="shared" si="3"/>
        <v>4</v>
      </c>
      <c r="P5" s="7" t="str">
        <f t="shared" si="4"/>
        <v>Jan</v>
      </c>
      <c r="Q5" s="6">
        <f t="shared" si="5"/>
        <v>100.00000000000003</v>
      </c>
      <c r="R5" s="3"/>
    </row>
    <row r="6" spans="1:18" x14ac:dyDescent="0.25">
      <c r="A6" s="4" t="s">
        <v>39</v>
      </c>
      <c r="B6" s="11">
        <v>45292</v>
      </c>
      <c r="C6" s="5">
        <v>0.80222222222222217</v>
      </c>
      <c r="D6" s="5">
        <v>0.83486111111111116</v>
      </c>
      <c r="E6" s="4" t="s">
        <v>10</v>
      </c>
      <c r="F6" s="4" t="s">
        <v>11</v>
      </c>
      <c r="G6" s="4" t="s">
        <v>12</v>
      </c>
      <c r="H6" s="4" t="s">
        <v>13</v>
      </c>
      <c r="I6" s="4" t="s">
        <v>19</v>
      </c>
      <c r="J6" s="4" t="s">
        <v>24</v>
      </c>
      <c r="K6" s="6">
        <f t="shared" si="1"/>
        <v>47.000000000000156</v>
      </c>
      <c r="L6" s="7" t="str" cm="1">
        <f t="array" ref="L6">_xlfn.SWITCH(J6,
  "Bentong Toll Plaza", "Short (0-50km)",
  "Karak Toll Plaza", "Short (0-50km)",
  "Lanchang Toll Plaza", "Medium (50-100km)",
  "Temerloh Toll Plaza", "Medium (50-100km)",
  "Chenor Toll Plaza", "Long (100-200km)",
  "Maran Toll Plaza", "Long (100-200km)",
  "Gambang Toll Plaza", "Long (100-200km)",
  "CHECK"
)</f>
        <v>Short (0-50km)</v>
      </c>
      <c r="M6" s="7" t="str">
        <f t="shared" si="0"/>
        <v>Off-Peak</v>
      </c>
      <c r="N6" s="7" t="str">
        <f t="shared" si="2"/>
        <v>Weekday</v>
      </c>
      <c r="O6" s="7">
        <f t="shared" si="3"/>
        <v>19</v>
      </c>
      <c r="P6" s="7" t="str">
        <f t="shared" si="4"/>
        <v>Jan</v>
      </c>
      <c r="Q6" s="6">
        <f t="shared" si="5"/>
        <v>63.829787234042335</v>
      </c>
      <c r="R6" s="3"/>
    </row>
    <row r="7" spans="1:18" x14ac:dyDescent="0.25">
      <c r="A7" s="4" t="s">
        <v>40</v>
      </c>
      <c r="B7" s="11">
        <v>45292</v>
      </c>
      <c r="C7" s="5">
        <v>0.46238425925925924</v>
      </c>
      <c r="D7" s="5">
        <v>0.53530092592592593</v>
      </c>
      <c r="E7" s="4" t="s">
        <v>17</v>
      </c>
      <c r="F7" s="4" t="s">
        <v>18</v>
      </c>
      <c r="G7" s="4" t="s">
        <v>16</v>
      </c>
      <c r="H7" s="4" t="s">
        <v>13</v>
      </c>
      <c r="I7" s="4" t="s">
        <v>19</v>
      </c>
      <c r="J7" s="4" t="s">
        <v>21</v>
      </c>
      <c r="K7" s="6">
        <f t="shared" si="1"/>
        <v>105.00000000000003</v>
      </c>
      <c r="L7" s="7" t="str" cm="1">
        <f t="array" ref="L7">_xlfn.SWITCH(J7,
  "Bentong Toll Plaza", "Short (0-50km)",
  "Karak Toll Plaza", "Short (0-50km)",
  "Lanchang Toll Plaza", "Medium (50-100km)",
  "Temerloh Toll Plaza", "Medium (50-100km)",
  "Chenor Toll Plaza", "Long (100-200km)",
  "Maran Toll Plaza", "Long (100-200km)",
  "Gambang Toll Plaza", "Long (100-200km)",
  "CHECK"
)</f>
        <v>Medium (50-100km)</v>
      </c>
      <c r="M7" s="7" t="str">
        <f t="shared" si="0"/>
        <v>Off-Peak</v>
      </c>
      <c r="N7" s="7" t="str">
        <f t="shared" si="2"/>
        <v>Weekday</v>
      </c>
      <c r="O7" s="7">
        <f t="shared" si="3"/>
        <v>11</v>
      </c>
      <c r="P7" s="7" t="str">
        <f t="shared" si="4"/>
        <v>Jan</v>
      </c>
      <c r="Q7" s="6">
        <f t="shared" si="5"/>
        <v>57.142857142857132</v>
      </c>
      <c r="R7" s="3"/>
    </row>
    <row r="8" spans="1:18" x14ac:dyDescent="0.25">
      <c r="A8" s="4" t="s">
        <v>41</v>
      </c>
      <c r="B8" s="11">
        <v>45292</v>
      </c>
      <c r="C8" s="5">
        <v>0.34877314814814814</v>
      </c>
      <c r="D8" s="5">
        <v>0.37655092592592593</v>
      </c>
      <c r="E8" s="4" t="s">
        <v>10</v>
      </c>
      <c r="F8" s="4" t="s">
        <v>11</v>
      </c>
      <c r="G8" s="4" t="s">
        <v>14</v>
      </c>
      <c r="H8" s="4" t="s">
        <v>13</v>
      </c>
      <c r="I8" s="4" t="s">
        <v>19</v>
      </c>
      <c r="J8" s="4" t="s">
        <v>22</v>
      </c>
      <c r="K8" s="6">
        <f t="shared" si="1"/>
        <v>40.000000000000014</v>
      </c>
      <c r="L8" s="7" t="str" cm="1">
        <f t="array" ref="L8">_xlfn.SWITCH(J8,
  "Bentong Toll Plaza", "Short (0-50km)",
  "Karak Toll Plaza", "Short (0-50km)",
  "Lanchang Toll Plaza", "Medium (50-100km)",
  "Temerloh Toll Plaza", "Medium (50-100km)",
  "Chenor Toll Plaza", "Long (100-200km)",
  "Maran Toll Plaza", "Long (100-200km)",
  "Gambang Toll Plaza", "Long (100-200km)",
  "CHECK"
)</f>
        <v>Short (0-50km)</v>
      </c>
      <c r="M8" s="7" t="str">
        <f t="shared" si="0"/>
        <v>Peak</v>
      </c>
      <c r="N8" s="7" t="str">
        <f t="shared" si="2"/>
        <v>Weekday</v>
      </c>
      <c r="O8" s="7">
        <f t="shared" si="3"/>
        <v>8</v>
      </c>
      <c r="P8" s="7" t="str">
        <f t="shared" si="4"/>
        <v>Jan</v>
      </c>
      <c r="Q8" s="6">
        <f t="shared" si="5"/>
        <v>74.999999999999986</v>
      </c>
      <c r="R8" s="3"/>
    </row>
    <row r="9" spans="1:18" x14ac:dyDescent="0.25">
      <c r="A9" s="4" t="s">
        <v>42</v>
      </c>
      <c r="B9" s="11">
        <v>45292</v>
      </c>
      <c r="C9" s="5">
        <v>0.562962962962963</v>
      </c>
      <c r="D9" s="5">
        <v>0.66365740740740742</v>
      </c>
      <c r="E9" s="4" t="s">
        <v>15</v>
      </c>
      <c r="F9" s="4" t="s">
        <v>23</v>
      </c>
      <c r="G9" s="4" t="s">
        <v>12</v>
      </c>
      <c r="H9" s="4" t="s">
        <v>13</v>
      </c>
      <c r="I9" s="4" t="s">
        <v>19</v>
      </c>
      <c r="J9" s="4" t="s">
        <v>20</v>
      </c>
      <c r="K9" s="6">
        <f t="shared" si="1"/>
        <v>144.99999999999997</v>
      </c>
      <c r="L9" s="7" t="str" cm="1">
        <f t="array" ref="L9">_xlfn.SWITCH(J9,
  "Bentong Toll Plaza", "Short (0-50km)",
  "Karak Toll Plaza", "Short (0-50km)",
  "Lanchang Toll Plaza", "Medium (50-100km)",
  "Temerloh Toll Plaza", "Medium (50-100km)",
  "Chenor Toll Plaza", "Long (100-200km)",
  "Maran Toll Plaza", "Long (100-200km)",
  "Gambang Toll Plaza", "Long (100-200km)",
  "CHECK"
)</f>
        <v>Long (100-200km)</v>
      </c>
      <c r="M9" s="7" t="str">
        <f t="shared" si="0"/>
        <v>Off-Peak</v>
      </c>
      <c r="N9" s="7" t="str">
        <f t="shared" si="2"/>
        <v>Weekday</v>
      </c>
      <c r="O9" s="7">
        <f t="shared" si="3"/>
        <v>13</v>
      </c>
      <c r="P9" s="7" t="str">
        <f t="shared" si="4"/>
        <v>Jan</v>
      </c>
      <c r="Q9" s="6">
        <f t="shared" si="5"/>
        <v>82.758620689655189</v>
      </c>
      <c r="R9" s="3"/>
    </row>
    <row r="10" spans="1:18" x14ac:dyDescent="0.25">
      <c r="A10" s="4" t="s">
        <v>43</v>
      </c>
      <c r="B10" s="11">
        <v>45292</v>
      </c>
      <c r="C10" s="5">
        <v>0.23774305555555555</v>
      </c>
      <c r="D10" s="5">
        <v>0.26968750000000002</v>
      </c>
      <c r="E10" s="4" t="s">
        <v>10</v>
      </c>
      <c r="F10" s="4" t="s">
        <v>11</v>
      </c>
      <c r="G10" s="4" t="s">
        <v>16</v>
      </c>
      <c r="H10" s="4" t="s">
        <v>13</v>
      </c>
      <c r="I10" s="4" t="s">
        <v>19</v>
      </c>
      <c r="J10" s="4" t="s">
        <v>24</v>
      </c>
      <c r="K10" s="6">
        <f t="shared" si="1"/>
        <v>46.000000000000036</v>
      </c>
      <c r="L10" s="7" t="str" cm="1">
        <f t="array" ref="L10">_xlfn.SWITCH(J10,
  "Bentong Toll Plaza", "Short (0-50km)",
  "Karak Toll Plaza", "Short (0-50km)",
  "Lanchang Toll Plaza", "Medium (50-100km)",
  "Temerloh Toll Plaza", "Medium (50-100km)",
  "Chenor Toll Plaza", "Long (100-200km)",
  "Maran Toll Plaza", "Long (100-200km)",
  "Gambang Toll Plaza", "Long (100-200km)",
  "CHECK"
)</f>
        <v>Short (0-50km)</v>
      </c>
      <c r="M10" s="7" t="str">
        <f t="shared" si="0"/>
        <v>Off-Peak</v>
      </c>
      <c r="N10" s="7" t="str">
        <f t="shared" si="2"/>
        <v>Weekday</v>
      </c>
      <c r="O10" s="7">
        <f t="shared" si="3"/>
        <v>5</v>
      </c>
      <c r="P10" s="7" t="str">
        <f t="shared" si="4"/>
        <v>Jan</v>
      </c>
      <c r="Q10" s="6">
        <f t="shared" si="5"/>
        <v>65.217391304347771</v>
      </c>
      <c r="R10" s="3"/>
    </row>
    <row r="11" spans="1:18" x14ac:dyDescent="0.25">
      <c r="A11" s="4" t="s">
        <v>44</v>
      </c>
      <c r="B11" s="11">
        <v>45292</v>
      </c>
      <c r="C11" s="5">
        <v>0.62511574074074072</v>
      </c>
      <c r="D11" s="5">
        <v>0.70150462962962967</v>
      </c>
      <c r="E11" s="4" t="s">
        <v>17</v>
      </c>
      <c r="F11" s="4" t="s">
        <v>18</v>
      </c>
      <c r="G11" s="4" t="s">
        <v>14</v>
      </c>
      <c r="H11" s="4" t="s">
        <v>13</v>
      </c>
      <c r="I11" s="4" t="s">
        <v>19</v>
      </c>
      <c r="J11" s="4" t="s">
        <v>21</v>
      </c>
      <c r="K11" s="6">
        <f t="shared" si="1"/>
        <v>110.00000000000009</v>
      </c>
      <c r="L11" s="7" t="str" cm="1">
        <f t="array" ref="L11">_xlfn.SWITCH(J11,
  "Bentong Toll Plaza", "Short (0-50km)",
  "Karak Toll Plaza", "Short (0-50km)",
  "Lanchang Toll Plaza", "Medium (50-100km)",
  "Temerloh Toll Plaza", "Medium (50-100km)",
  "Chenor Toll Plaza", "Long (100-200km)",
  "Maran Toll Plaza", "Long (100-200km)",
  "Gambang Toll Plaza", "Long (100-200km)",
  "CHECK"
)</f>
        <v>Medium (50-100km)</v>
      </c>
      <c r="M11" s="7" t="str">
        <f t="shared" si="0"/>
        <v>Off-Peak</v>
      </c>
      <c r="N11" s="7" t="str">
        <f t="shared" si="2"/>
        <v>Weekday</v>
      </c>
      <c r="O11" s="7">
        <f t="shared" si="3"/>
        <v>15</v>
      </c>
      <c r="P11" s="7" t="str">
        <f t="shared" si="4"/>
        <v>Jan</v>
      </c>
      <c r="Q11" s="6">
        <f t="shared" si="5"/>
        <v>54.545454545454504</v>
      </c>
      <c r="R11" s="3"/>
    </row>
    <row r="12" spans="1:18" x14ac:dyDescent="0.25">
      <c r="A12" s="4" t="s">
        <v>45</v>
      </c>
      <c r="B12" s="11">
        <v>45292</v>
      </c>
      <c r="C12" s="5">
        <v>0.25372685185185184</v>
      </c>
      <c r="D12" s="5">
        <v>0.28150462962962963</v>
      </c>
      <c r="E12" s="4" t="s">
        <v>10</v>
      </c>
      <c r="F12" s="4" t="s">
        <v>11</v>
      </c>
      <c r="G12" s="4" t="s">
        <v>12</v>
      </c>
      <c r="H12" s="4" t="s">
        <v>13</v>
      </c>
      <c r="I12" s="4" t="s">
        <v>19</v>
      </c>
      <c r="J12" s="4" t="s">
        <v>22</v>
      </c>
      <c r="K12" s="6">
        <f t="shared" si="1"/>
        <v>40.000000000000014</v>
      </c>
      <c r="L12" s="7" t="str" cm="1">
        <f t="array" ref="L12">_xlfn.SWITCH(J12,
  "Bentong Toll Plaza", "Short (0-50km)",
  "Karak Toll Plaza", "Short (0-50km)",
  "Lanchang Toll Plaza", "Medium (50-100km)",
  "Temerloh Toll Plaza", "Medium (50-100km)",
  "Chenor Toll Plaza", "Long (100-200km)",
  "Maran Toll Plaza", "Long (100-200km)",
  "Gambang Toll Plaza", "Long (100-200km)",
  "CHECK"
)</f>
        <v>Short (0-50km)</v>
      </c>
      <c r="M12" s="7" t="str">
        <f t="shared" si="0"/>
        <v>Off-Peak</v>
      </c>
      <c r="N12" s="7" t="str">
        <f t="shared" si="2"/>
        <v>Weekday</v>
      </c>
      <c r="O12" s="7">
        <f t="shared" si="3"/>
        <v>6</v>
      </c>
      <c r="P12" s="7" t="str">
        <f t="shared" si="4"/>
        <v>Jan</v>
      </c>
      <c r="Q12" s="6">
        <f t="shared" si="5"/>
        <v>74.999999999999986</v>
      </c>
      <c r="R12" s="3"/>
    </row>
    <row r="13" spans="1:18" x14ac:dyDescent="0.25">
      <c r="A13" s="4" t="s">
        <v>46</v>
      </c>
      <c r="B13" s="11">
        <v>45292</v>
      </c>
      <c r="C13" s="5">
        <v>0.71704861111111107</v>
      </c>
      <c r="D13" s="5">
        <v>0.80732638888888886</v>
      </c>
      <c r="E13" s="4" t="s">
        <v>15</v>
      </c>
      <c r="F13" s="4" t="s">
        <v>23</v>
      </c>
      <c r="G13" s="4" t="s">
        <v>16</v>
      </c>
      <c r="H13" s="4" t="s">
        <v>13</v>
      </c>
      <c r="I13" s="4" t="s">
        <v>19</v>
      </c>
      <c r="J13" s="4" t="s">
        <v>20</v>
      </c>
      <c r="K13" s="6">
        <f t="shared" si="1"/>
        <v>130.00000000000003</v>
      </c>
      <c r="L13" s="7" t="str" cm="1">
        <f t="array" ref="L13">_xlfn.SWITCH(J13,
  "Bentong Toll Plaza", "Short (0-50km)",
  "Karak Toll Plaza", "Short (0-50km)",
  "Lanchang Toll Plaza", "Medium (50-100km)",
  "Temerloh Toll Plaza", "Medium (50-100km)",
  "Chenor Toll Plaza", "Long (100-200km)",
  "Maran Toll Plaza", "Long (100-200km)",
  "Gambang Toll Plaza", "Long (100-200km)",
  "CHECK"
)</f>
        <v>Long (100-200km)</v>
      </c>
      <c r="M13" s="7" t="str">
        <f t="shared" si="0"/>
        <v>Peak</v>
      </c>
      <c r="N13" s="7" t="str">
        <f t="shared" si="2"/>
        <v>Weekday</v>
      </c>
      <c r="O13" s="7">
        <f t="shared" si="3"/>
        <v>17</v>
      </c>
      <c r="P13" s="7" t="str">
        <f t="shared" si="4"/>
        <v>Jan</v>
      </c>
      <c r="Q13" s="6">
        <f t="shared" si="5"/>
        <v>92.307692307692292</v>
      </c>
      <c r="R13" s="3"/>
    </row>
    <row r="14" spans="1:18" x14ac:dyDescent="0.25">
      <c r="A14" s="4" t="s">
        <v>47</v>
      </c>
      <c r="B14" s="11">
        <v>45292</v>
      </c>
      <c r="C14" s="5">
        <v>0.40295138888888887</v>
      </c>
      <c r="D14" s="5">
        <v>0.48628472222222224</v>
      </c>
      <c r="E14" s="4" t="s">
        <v>17</v>
      </c>
      <c r="F14" s="4" t="s">
        <v>18</v>
      </c>
      <c r="G14" s="4" t="s">
        <v>12</v>
      </c>
      <c r="H14" s="4" t="s">
        <v>13</v>
      </c>
      <c r="I14" s="4" t="s">
        <v>19</v>
      </c>
      <c r="J14" s="4" t="s">
        <v>21</v>
      </c>
      <c r="K14" s="6">
        <f t="shared" si="1"/>
        <v>120.00000000000006</v>
      </c>
      <c r="L14" s="7" t="str" cm="1">
        <f t="array" ref="L14">_xlfn.SWITCH(J14,
  "Bentong Toll Plaza", "Short (0-50km)",
  "Karak Toll Plaza", "Short (0-50km)",
  "Lanchang Toll Plaza", "Medium (50-100km)",
  "Temerloh Toll Plaza", "Medium (50-100km)",
  "Chenor Toll Plaza", "Long (100-200km)",
  "Maran Toll Plaza", "Long (100-200km)",
  "Gambang Toll Plaza", "Long (100-200km)",
  "CHECK"
)</f>
        <v>Medium (50-100km)</v>
      </c>
      <c r="M14" s="7" t="str">
        <f t="shared" si="0"/>
        <v>Off-Peak</v>
      </c>
      <c r="N14" s="7" t="str">
        <f t="shared" si="2"/>
        <v>Weekday</v>
      </c>
      <c r="O14" s="7">
        <f t="shared" si="3"/>
        <v>9</v>
      </c>
      <c r="P14" s="7" t="str">
        <f t="shared" si="4"/>
        <v>Jan</v>
      </c>
      <c r="Q14" s="6">
        <f t="shared" si="5"/>
        <v>49.999999999999979</v>
      </c>
      <c r="R14" s="3"/>
    </row>
    <row r="15" spans="1:18" x14ac:dyDescent="0.25">
      <c r="A15" s="4" t="s">
        <v>48</v>
      </c>
      <c r="B15" s="11">
        <v>45292</v>
      </c>
      <c r="C15" s="5">
        <v>0.61828703703703702</v>
      </c>
      <c r="D15" s="5">
        <v>0.64606481481481481</v>
      </c>
      <c r="E15" s="4" t="s">
        <v>10</v>
      </c>
      <c r="F15" s="4" t="s">
        <v>11</v>
      </c>
      <c r="G15" s="4" t="s">
        <v>14</v>
      </c>
      <c r="H15" s="4" t="s">
        <v>13</v>
      </c>
      <c r="I15" s="4" t="s">
        <v>19</v>
      </c>
      <c r="J15" s="4" t="s">
        <v>22</v>
      </c>
      <c r="K15" s="6">
        <f t="shared" si="1"/>
        <v>40.000000000000014</v>
      </c>
      <c r="L15" s="7" t="str" cm="1">
        <f t="array" ref="L15">_xlfn.SWITCH(J15,
  "Bentong Toll Plaza", "Short (0-50km)",
  "Karak Toll Plaza", "Short (0-50km)",
  "Lanchang Toll Plaza", "Medium (50-100km)",
  "Temerloh Toll Plaza", "Medium (50-100km)",
  "Chenor Toll Plaza", "Long (100-200km)",
  "Maran Toll Plaza", "Long (100-200km)",
  "Gambang Toll Plaza", "Long (100-200km)",
  "CHECK"
)</f>
        <v>Short (0-50km)</v>
      </c>
      <c r="M15" s="7" t="str">
        <f t="shared" si="0"/>
        <v>Off-Peak</v>
      </c>
      <c r="N15" s="7" t="str">
        <f t="shared" si="2"/>
        <v>Weekday</v>
      </c>
      <c r="O15" s="7">
        <f t="shared" si="3"/>
        <v>14</v>
      </c>
      <c r="P15" s="7" t="str">
        <f t="shared" si="4"/>
        <v>Jan</v>
      </c>
      <c r="Q15" s="6">
        <f t="shared" si="5"/>
        <v>74.999999999999986</v>
      </c>
      <c r="R15" s="3"/>
    </row>
    <row r="16" spans="1:18" x14ac:dyDescent="0.25">
      <c r="A16" s="4" t="s">
        <v>49</v>
      </c>
      <c r="B16" s="11">
        <v>45292</v>
      </c>
      <c r="C16" s="5">
        <v>0.43101851851851852</v>
      </c>
      <c r="D16" s="5">
        <v>0.47268518518518521</v>
      </c>
      <c r="E16" s="4" t="s">
        <v>10</v>
      </c>
      <c r="F16" s="4" t="s">
        <v>11</v>
      </c>
      <c r="G16" s="4" t="s">
        <v>16</v>
      </c>
      <c r="H16" s="4" t="s">
        <v>13</v>
      </c>
      <c r="I16" s="4" t="s">
        <v>19</v>
      </c>
      <c r="J16" s="4" t="s">
        <v>24</v>
      </c>
      <c r="K16" s="6">
        <f t="shared" si="1"/>
        <v>60.000000000000028</v>
      </c>
      <c r="L16" s="7" t="str" cm="1">
        <f t="array" ref="L16">_xlfn.SWITCH(J16,
  "Bentong Toll Plaza", "Short (0-50km)",
  "Karak Toll Plaza", "Short (0-50km)",
  "Lanchang Toll Plaza", "Medium (50-100km)",
  "Temerloh Toll Plaza", "Medium (50-100km)",
  "Chenor Toll Plaza", "Long (100-200km)",
  "Maran Toll Plaza", "Long (100-200km)",
  "Gambang Toll Plaza", "Long (100-200km)",
  "CHECK"
)</f>
        <v>Short (0-50km)</v>
      </c>
      <c r="M16" s="7" t="str">
        <f t="shared" si="0"/>
        <v>Off-Peak</v>
      </c>
      <c r="N16" s="7" t="str">
        <f t="shared" si="2"/>
        <v>Weekday</v>
      </c>
      <c r="O16" s="7">
        <f t="shared" si="3"/>
        <v>10</v>
      </c>
      <c r="P16" s="7" t="str">
        <f t="shared" si="4"/>
        <v>Jan</v>
      </c>
      <c r="Q16" s="6">
        <f t="shared" si="5"/>
        <v>49.999999999999979</v>
      </c>
      <c r="R16" s="3"/>
    </row>
    <row r="17" spans="1:18" x14ac:dyDescent="0.25">
      <c r="A17" s="4" t="s">
        <v>50</v>
      </c>
      <c r="B17" s="11">
        <v>45292</v>
      </c>
      <c r="C17" s="5">
        <v>0.34180555555555553</v>
      </c>
      <c r="D17" s="5">
        <v>0.43555555555555553</v>
      </c>
      <c r="E17" s="4" t="s">
        <v>15</v>
      </c>
      <c r="F17" s="4" t="s">
        <v>23</v>
      </c>
      <c r="G17" s="4" t="s">
        <v>12</v>
      </c>
      <c r="H17" s="4" t="s">
        <v>13</v>
      </c>
      <c r="I17" s="4" t="s">
        <v>19</v>
      </c>
      <c r="J17" s="4" t="s">
        <v>21</v>
      </c>
      <c r="K17" s="6">
        <f t="shared" si="1"/>
        <v>135</v>
      </c>
      <c r="L17" s="7" t="str" cm="1">
        <f t="array" ref="L17">_xlfn.SWITCH(J17,
  "Bentong Toll Plaza", "Short (0-50km)",
  "Karak Toll Plaza", "Short (0-50km)",
  "Lanchang Toll Plaza", "Medium (50-100km)",
  "Temerloh Toll Plaza", "Medium (50-100km)",
  "Chenor Toll Plaza", "Long (100-200km)",
  "Maran Toll Plaza", "Long (100-200km)",
  "Gambang Toll Plaza", "Long (100-200km)",
  "CHECK"
)</f>
        <v>Medium (50-100km)</v>
      </c>
      <c r="M17" s="7" t="str">
        <f t="shared" si="0"/>
        <v>Peak</v>
      </c>
      <c r="N17" s="7" t="str">
        <f t="shared" si="2"/>
        <v>Weekday</v>
      </c>
      <c r="O17" s="7">
        <f t="shared" si="3"/>
        <v>8</v>
      </c>
      <c r="P17" s="7" t="str">
        <f t="shared" si="4"/>
        <v>Jan</v>
      </c>
      <c r="Q17" s="6">
        <f t="shared" si="5"/>
        <v>44.444444444444443</v>
      </c>
      <c r="R17" s="3"/>
    </row>
    <row r="18" spans="1:18" x14ac:dyDescent="0.25">
      <c r="A18" s="4" t="s">
        <v>51</v>
      </c>
      <c r="B18" s="11">
        <v>45292</v>
      </c>
      <c r="C18" s="5">
        <v>0.52094907407407409</v>
      </c>
      <c r="D18" s="5">
        <v>0.60428240740740746</v>
      </c>
      <c r="E18" s="4" t="s">
        <v>17</v>
      </c>
      <c r="F18" s="4" t="s">
        <v>18</v>
      </c>
      <c r="G18" s="4" t="s">
        <v>16</v>
      </c>
      <c r="H18" s="4" t="s">
        <v>13</v>
      </c>
      <c r="I18" s="4" t="s">
        <v>19</v>
      </c>
      <c r="J18" s="4" t="s">
        <v>20</v>
      </c>
      <c r="K18" s="6">
        <f t="shared" si="1"/>
        <v>120.00000000000006</v>
      </c>
      <c r="L18" s="7" t="str" cm="1">
        <f t="array" ref="L18">_xlfn.SWITCH(J18,
  "Bentong Toll Plaza", "Short (0-50km)",
  "Karak Toll Plaza", "Short (0-50km)",
  "Lanchang Toll Plaza", "Medium (50-100km)",
  "Temerloh Toll Plaza", "Medium (50-100km)",
  "Chenor Toll Plaza", "Long (100-200km)",
  "Maran Toll Plaza", "Long (100-200km)",
  "Gambang Toll Plaza", "Long (100-200km)",
  "CHECK"
)</f>
        <v>Long (100-200km)</v>
      </c>
      <c r="M18" s="7" t="str">
        <f t="shared" si="0"/>
        <v>Off-Peak</v>
      </c>
      <c r="N18" s="7" t="str">
        <f t="shared" si="2"/>
        <v>Weekday</v>
      </c>
      <c r="O18" s="7">
        <f t="shared" si="3"/>
        <v>12</v>
      </c>
      <c r="P18" s="7" t="str">
        <f t="shared" si="4"/>
        <v>Jan</v>
      </c>
      <c r="Q18" s="6">
        <f t="shared" si="5"/>
        <v>99.999999999999957</v>
      </c>
      <c r="R18" s="3"/>
    </row>
    <row r="19" spans="1:18" x14ac:dyDescent="0.25">
      <c r="A19" s="4" t="s">
        <v>52</v>
      </c>
      <c r="B19" s="11">
        <v>45292</v>
      </c>
      <c r="C19" s="5">
        <v>0.67071759259259256</v>
      </c>
      <c r="D19" s="5">
        <v>0.70196759259259256</v>
      </c>
      <c r="E19" s="4" t="s">
        <v>10</v>
      </c>
      <c r="F19" s="4" t="s">
        <v>11</v>
      </c>
      <c r="G19" s="4" t="s">
        <v>14</v>
      </c>
      <c r="H19" s="4" t="s">
        <v>13</v>
      </c>
      <c r="I19" s="4" t="s">
        <v>19</v>
      </c>
      <c r="J19" s="4" t="s">
        <v>22</v>
      </c>
      <c r="K19" s="6">
        <f t="shared" si="1"/>
        <v>45</v>
      </c>
      <c r="L19" s="7" t="str" cm="1">
        <f t="array" ref="L19">_xlfn.SWITCH(J19,
  "Bentong Toll Plaza", "Short (0-50km)",
  "Karak Toll Plaza", "Short (0-50km)",
  "Lanchang Toll Plaza", "Medium (50-100km)",
  "Temerloh Toll Plaza", "Medium (50-100km)",
  "Chenor Toll Plaza", "Long (100-200km)",
  "Maran Toll Plaza", "Long (100-200km)",
  "Gambang Toll Plaza", "Long (100-200km)",
  "CHECK"
)</f>
        <v>Short (0-50km)</v>
      </c>
      <c r="M19" s="7" t="str">
        <f t="shared" si="0"/>
        <v>Off-Peak</v>
      </c>
      <c r="N19" s="7" t="str">
        <f t="shared" si="2"/>
        <v>Weekday</v>
      </c>
      <c r="O19" s="7">
        <f t="shared" si="3"/>
        <v>16</v>
      </c>
      <c r="P19" s="7" t="str">
        <f t="shared" si="4"/>
        <v>Jan</v>
      </c>
      <c r="Q19" s="6">
        <f t="shared" si="5"/>
        <v>66.666666666666671</v>
      </c>
      <c r="R19" s="3"/>
    </row>
    <row r="20" spans="1:18" x14ac:dyDescent="0.25">
      <c r="A20" s="4" t="s">
        <v>53</v>
      </c>
      <c r="B20" s="11">
        <v>45292</v>
      </c>
      <c r="C20" s="5">
        <v>0.76749999999999996</v>
      </c>
      <c r="D20" s="5">
        <v>0.85083333333333333</v>
      </c>
      <c r="E20" s="4" t="s">
        <v>15</v>
      </c>
      <c r="F20" s="4" t="s">
        <v>23</v>
      </c>
      <c r="G20" s="4" t="s">
        <v>12</v>
      </c>
      <c r="H20" s="4" t="s">
        <v>13</v>
      </c>
      <c r="I20" s="4" t="s">
        <v>19</v>
      </c>
      <c r="J20" s="4" t="s">
        <v>21</v>
      </c>
      <c r="K20" s="6">
        <f t="shared" si="1"/>
        <v>120.00000000000006</v>
      </c>
      <c r="L20" s="7" t="str" cm="1">
        <f t="array" ref="L20">_xlfn.SWITCH(J20,
  "Bentong Toll Plaza", "Short (0-50km)",
  "Karak Toll Plaza", "Short (0-50km)",
  "Lanchang Toll Plaza", "Medium (50-100km)",
  "Temerloh Toll Plaza", "Medium (50-100km)",
  "Chenor Toll Plaza", "Long (100-200km)",
  "Maran Toll Plaza", "Long (100-200km)",
  "Gambang Toll Plaza", "Long (100-200km)",
  "CHECK"
)</f>
        <v>Medium (50-100km)</v>
      </c>
      <c r="M20" s="7" t="str">
        <f t="shared" si="0"/>
        <v>Peak</v>
      </c>
      <c r="N20" s="7" t="str">
        <f t="shared" si="2"/>
        <v>Weekday</v>
      </c>
      <c r="O20" s="7">
        <f t="shared" si="3"/>
        <v>18</v>
      </c>
      <c r="P20" s="7" t="str">
        <f t="shared" si="4"/>
        <v>Jan</v>
      </c>
      <c r="Q20" s="6">
        <f t="shared" si="5"/>
        <v>49.999999999999979</v>
      </c>
      <c r="R20" s="3"/>
    </row>
    <row r="21" spans="1:18" x14ac:dyDescent="0.25">
      <c r="A21" s="4" t="s">
        <v>54</v>
      </c>
      <c r="B21" s="11">
        <v>45292</v>
      </c>
      <c r="C21" s="5">
        <v>0.30243055555555554</v>
      </c>
      <c r="D21" s="5">
        <v>0.33368055555555554</v>
      </c>
      <c r="E21" s="4" t="s">
        <v>10</v>
      </c>
      <c r="F21" s="4" t="s">
        <v>11</v>
      </c>
      <c r="G21" s="4" t="s">
        <v>16</v>
      </c>
      <c r="H21" s="4" t="s">
        <v>13</v>
      </c>
      <c r="I21" s="4" t="s">
        <v>19</v>
      </c>
      <c r="J21" s="4" t="s">
        <v>24</v>
      </c>
      <c r="K21" s="6">
        <f t="shared" si="1"/>
        <v>45</v>
      </c>
      <c r="L21" s="7" t="str" cm="1">
        <f t="array" ref="L21">_xlfn.SWITCH(J21,
  "Bentong Toll Plaza", "Short (0-50km)",
  "Karak Toll Plaza", "Short (0-50km)",
  "Lanchang Toll Plaza", "Medium (50-100km)",
  "Temerloh Toll Plaza", "Medium (50-100km)",
  "Chenor Toll Plaza", "Long (100-200km)",
  "Maran Toll Plaza", "Long (100-200km)",
  "Gambang Toll Plaza", "Long (100-200km)",
  "CHECK"
)</f>
        <v>Short (0-50km)</v>
      </c>
      <c r="M21" s="7" t="str">
        <f t="shared" si="0"/>
        <v>Peak</v>
      </c>
      <c r="N21" s="7" t="str">
        <f t="shared" si="2"/>
        <v>Weekday</v>
      </c>
      <c r="O21" s="7">
        <f t="shared" si="3"/>
        <v>7</v>
      </c>
      <c r="P21" s="7" t="str">
        <f t="shared" si="4"/>
        <v>Jan</v>
      </c>
      <c r="Q21" s="6">
        <f t="shared" si="5"/>
        <v>66.666666666666671</v>
      </c>
      <c r="R21" s="3"/>
    </row>
    <row r="22" spans="1:18" x14ac:dyDescent="0.25">
      <c r="A22" s="4" t="s">
        <v>35</v>
      </c>
      <c r="B22" s="11">
        <v>45292</v>
      </c>
      <c r="C22" s="5">
        <v>5.0520833333333334E-2</v>
      </c>
      <c r="D22" s="5">
        <v>8.59375E-2</v>
      </c>
      <c r="E22" s="4" t="s">
        <v>10</v>
      </c>
      <c r="F22" s="4" t="s">
        <v>11</v>
      </c>
      <c r="G22" s="4" t="s">
        <v>16</v>
      </c>
      <c r="H22" s="4" t="s">
        <v>13</v>
      </c>
      <c r="I22" s="4" t="s">
        <v>19</v>
      </c>
      <c r="J22" s="4" t="s">
        <v>24</v>
      </c>
      <c r="K22" s="6">
        <f t="shared" si="1"/>
        <v>51</v>
      </c>
      <c r="L22" s="7" t="str" cm="1">
        <f t="array" ref="L22">_xlfn.SWITCH(J22,
  "Bentong Toll Plaza", "Short (0-50km)",
  "Karak Toll Plaza", "Short (0-50km)",
  "Lanchang Toll Plaza", "Medium (50-100km)",
  "Temerloh Toll Plaza", "Medium (50-100km)",
  "Chenor Toll Plaza", "Long (100-200km)",
  "Maran Toll Plaza", "Long (100-200km)",
  "Gambang Toll Plaza", "Long (100-200km)",
  "CHECK"
)</f>
        <v>Short (0-50km)</v>
      </c>
      <c r="M22" s="7" t="str">
        <f t="shared" si="0"/>
        <v>Off-Peak</v>
      </c>
      <c r="N22" s="7" t="str">
        <f t="shared" si="2"/>
        <v>Weekday</v>
      </c>
      <c r="O22" s="7">
        <f t="shared" si="3"/>
        <v>1</v>
      </c>
      <c r="P22" s="7" t="str">
        <f t="shared" si="4"/>
        <v>Jan</v>
      </c>
      <c r="Q22" s="6">
        <f t="shared" si="5"/>
        <v>58.82352941176471</v>
      </c>
      <c r="R22" s="3"/>
    </row>
    <row r="23" spans="1:18" x14ac:dyDescent="0.25">
      <c r="A23" s="4" t="s">
        <v>36</v>
      </c>
      <c r="B23" s="11">
        <v>45292</v>
      </c>
      <c r="C23" s="5">
        <v>0.31611111111111112</v>
      </c>
      <c r="D23" s="5">
        <v>0.40986111111111112</v>
      </c>
      <c r="E23" s="4" t="s">
        <v>15</v>
      </c>
      <c r="F23" s="4" t="s">
        <v>23</v>
      </c>
      <c r="G23" s="4" t="s">
        <v>12</v>
      </c>
      <c r="H23" s="4" t="s">
        <v>13</v>
      </c>
      <c r="I23" s="4" t="s">
        <v>19</v>
      </c>
      <c r="J23" s="4" t="s">
        <v>21</v>
      </c>
      <c r="K23" s="6">
        <f t="shared" si="1"/>
        <v>135</v>
      </c>
      <c r="L23" s="7" t="str" cm="1">
        <f t="array" ref="L23">_xlfn.SWITCH(J23,
  "Bentong Toll Plaza", "Short (0-50km)",
  "Karak Toll Plaza", "Short (0-50km)",
  "Lanchang Toll Plaza", "Medium (50-100km)",
  "Temerloh Toll Plaza", "Medium (50-100km)",
  "Chenor Toll Plaza", "Long (100-200km)",
  "Maran Toll Plaza", "Long (100-200km)",
  "Gambang Toll Plaza", "Long (100-200km)",
  "CHECK"
)</f>
        <v>Medium (50-100km)</v>
      </c>
      <c r="M23" s="7" t="str">
        <f t="shared" si="0"/>
        <v>Peak</v>
      </c>
      <c r="N23" s="7" t="str">
        <f t="shared" si="2"/>
        <v>Weekday</v>
      </c>
      <c r="O23" s="7">
        <f t="shared" si="3"/>
        <v>7</v>
      </c>
      <c r="P23" s="7" t="str">
        <f t="shared" si="4"/>
        <v>Jan</v>
      </c>
      <c r="Q23" s="6">
        <f t="shared" si="5"/>
        <v>44.444444444444443</v>
      </c>
      <c r="R23" s="3"/>
    </row>
    <row r="24" spans="1:18" x14ac:dyDescent="0.25">
      <c r="A24" s="4" t="s">
        <v>37</v>
      </c>
      <c r="B24" s="11">
        <v>45292</v>
      </c>
      <c r="C24" s="5">
        <v>0.68061342592592589</v>
      </c>
      <c r="D24" s="5">
        <v>0.71880787037037042</v>
      </c>
      <c r="E24" s="4" t="s">
        <v>10</v>
      </c>
      <c r="F24" s="4" t="s">
        <v>11</v>
      </c>
      <c r="G24" s="4" t="s">
        <v>14</v>
      </c>
      <c r="H24" s="4" t="s">
        <v>13</v>
      </c>
      <c r="I24" s="4" t="s">
        <v>19</v>
      </c>
      <c r="J24" s="4" t="s">
        <v>22</v>
      </c>
      <c r="K24" s="6">
        <f t="shared" si="1"/>
        <v>55.000000000000128</v>
      </c>
      <c r="L24" s="7" t="str" cm="1">
        <f t="array" ref="L24">_xlfn.SWITCH(J24,
  "Bentong Toll Plaza", "Short (0-50km)",
  "Karak Toll Plaza", "Short (0-50km)",
  "Lanchang Toll Plaza", "Medium (50-100km)",
  "Temerloh Toll Plaza", "Medium (50-100km)",
  "Chenor Toll Plaza", "Long (100-200km)",
  "Maran Toll Plaza", "Long (100-200km)",
  "Gambang Toll Plaza", "Long (100-200km)",
  "CHECK"
)</f>
        <v>Short (0-50km)</v>
      </c>
      <c r="M24" s="7" t="str">
        <f t="shared" si="0"/>
        <v>Off-Peak</v>
      </c>
      <c r="N24" s="7" t="str">
        <f t="shared" si="2"/>
        <v>Weekday</v>
      </c>
      <c r="O24" s="7">
        <f t="shared" si="3"/>
        <v>16</v>
      </c>
      <c r="P24" s="7" t="str">
        <f t="shared" si="4"/>
        <v>Jan</v>
      </c>
      <c r="Q24" s="6">
        <f t="shared" si="5"/>
        <v>54.545454545454419</v>
      </c>
      <c r="R24" s="3"/>
    </row>
    <row r="25" spans="1:18" x14ac:dyDescent="0.25">
      <c r="A25" s="4" t="s">
        <v>38</v>
      </c>
      <c r="B25" s="11">
        <v>45292</v>
      </c>
      <c r="C25" s="5">
        <v>0.20177083333333334</v>
      </c>
      <c r="D25" s="5">
        <v>0.28510416666666666</v>
      </c>
      <c r="E25" s="4" t="s">
        <v>17</v>
      </c>
      <c r="F25" s="4" t="s">
        <v>18</v>
      </c>
      <c r="G25" s="4" t="s">
        <v>16</v>
      </c>
      <c r="H25" s="4" t="s">
        <v>13</v>
      </c>
      <c r="I25" s="4" t="s">
        <v>19</v>
      </c>
      <c r="J25" s="4" t="s">
        <v>20</v>
      </c>
      <c r="K25" s="6">
        <f t="shared" si="1"/>
        <v>119.99999999999997</v>
      </c>
      <c r="L25" s="7" t="str" cm="1">
        <f t="array" ref="L25">_xlfn.SWITCH(J25,
  "Bentong Toll Plaza", "Short (0-50km)",
  "Karak Toll Plaza", "Short (0-50km)",
  "Lanchang Toll Plaza", "Medium (50-100km)",
  "Temerloh Toll Plaza", "Medium (50-100km)",
  "Chenor Toll Plaza", "Long (100-200km)",
  "Maran Toll Plaza", "Long (100-200km)",
  "Gambang Toll Plaza", "Long (100-200km)",
  "CHECK"
)</f>
        <v>Long (100-200km)</v>
      </c>
      <c r="M25" s="7" t="str">
        <f t="shared" si="0"/>
        <v>Off-Peak</v>
      </c>
      <c r="N25" s="7" t="str">
        <f t="shared" si="2"/>
        <v>Weekday</v>
      </c>
      <c r="O25" s="7">
        <f t="shared" si="3"/>
        <v>4</v>
      </c>
      <c r="P25" s="7" t="str">
        <f t="shared" si="4"/>
        <v>Jan</v>
      </c>
      <c r="Q25" s="6">
        <f t="shared" si="5"/>
        <v>100.00000000000003</v>
      </c>
      <c r="R25" s="3"/>
    </row>
    <row r="26" spans="1:18" x14ac:dyDescent="0.25">
      <c r="A26" s="4" t="s">
        <v>39</v>
      </c>
      <c r="B26" s="11">
        <v>45292</v>
      </c>
      <c r="C26" s="5">
        <v>0.80222222222222217</v>
      </c>
      <c r="D26" s="5">
        <v>0.83486111111111116</v>
      </c>
      <c r="E26" s="4" t="s">
        <v>10</v>
      </c>
      <c r="F26" s="4" t="s">
        <v>11</v>
      </c>
      <c r="G26" s="4" t="s">
        <v>12</v>
      </c>
      <c r="H26" s="4" t="s">
        <v>13</v>
      </c>
      <c r="I26" s="4" t="s">
        <v>19</v>
      </c>
      <c r="J26" s="4" t="s">
        <v>24</v>
      </c>
      <c r="K26" s="6">
        <f t="shared" si="1"/>
        <v>47.000000000000156</v>
      </c>
      <c r="L26" s="7" t="str" cm="1">
        <f t="array" ref="L26">_xlfn.SWITCH(J26,
  "Bentong Toll Plaza", "Short (0-50km)",
  "Karak Toll Plaza", "Short (0-50km)",
  "Lanchang Toll Plaza", "Medium (50-100km)",
  "Temerloh Toll Plaza", "Medium (50-100km)",
  "Chenor Toll Plaza", "Long (100-200km)",
  "Maran Toll Plaza", "Long (100-200km)",
  "Gambang Toll Plaza", "Long (100-200km)",
  "CHECK"
)</f>
        <v>Short (0-50km)</v>
      </c>
      <c r="M26" s="7" t="str">
        <f t="shared" si="0"/>
        <v>Off-Peak</v>
      </c>
      <c r="N26" s="7" t="str">
        <f t="shared" si="2"/>
        <v>Weekday</v>
      </c>
      <c r="O26" s="7">
        <f t="shared" si="3"/>
        <v>19</v>
      </c>
      <c r="P26" s="7" t="str">
        <f t="shared" si="4"/>
        <v>Jan</v>
      </c>
      <c r="Q26" s="6">
        <f t="shared" si="5"/>
        <v>63.829787234042335</v>
      </c>
      <c r="R26" s="3"/>
    </row>
    <row r="27" spans="1:18" x14ac:dyDescent="0.25">
      <c r="A27" s="4" t="s">
        <v>40</v>
      </c>
      <c r="B27" s="11">
        <v>45292</v>
      </c>
      <c r="C27" s="5">
        <v>0.46238425925925924</v>
      </c>
      <c r="D27" s="5">
        <v>0.53530092592592593</v>
      </c>
      <c r="E27" s="4" t="s">
        <v>17</v>
      </c>
      <c r="F27" s="4" t="s">
        <v>18</v>
      </c>
      <c r="G27" s="4" t="s">
        <v>16</v>
      </c>
      <c r="H27" s="4" t="s">
        <v>13</v>
      </c>
      <c r="I27" s="4" t="s">
        <v>19</v>
      </c>
      <c r="J27" s="4" t="s">
        <v>21</v>
      </c>
      <c r="K27" s="6">
        <f t="shared" si="1"/>
        <v>105.00000000000003</v>
      </c>
      <c r="L27" s="7" t="str" cm="1">
        <f t="array" ref="L27">_xlfn.SWITCH(J27,
  "Bentong Toll Plaza", "Short (0-50km)",
  "Karak Toll Plaza", "Short (0-50km)",
  "Lanchang Toll Plaza", "Medium (50-100km)",
  "Temerloh Toll Plaza", "Medium (50-100km)",
  "Chenor Toll Plaza", "Long (100-200km)",
  "Maran Toll Plaza", "Long (100-200km)",
  "Gambang Toll Plaza", "Long (100-200km)",
  "CHECK"
)</f>
        <v>Medium (50-100km)</v>
      </c>
      <c r="M27" s="7" t="str">
        <f t="shared" si="0"/>
        <v>Off-Peak</v>
      </c>
      <c r="N27" s="7" t="str">
        <f t="shared" si="2"/>
        <v>Weekday</v>
      </c>
      <c r="O27" s="7">
        <f t="shared" si="3"/>
        <v>11</v>
      </c>
      <c r="P27" s="7" t="str">
        <f t="shared" si="4"/>
        <v>Jan</v>
      </c>
      <c r="Q27" s="6">
        <f t="shared" si="5"/>
        <v>57.142857142857132</v>
      </c>
      <c r="R27" s="3"/>
    </row>
    <row r="28" spans="1:18" x14ac:dyDescent="0.25">
      <c r="A28" s="4" t="s">
        <v>41</v>
      </c>
      <c r="B28" s="11">
        <v>45292</v>
      </c>
      <c r="C28" s="5">
        <v>0.34877314814814814</v>
      </c>
      <c r="D28" s="5">
        <v>0.37655092592592593</v>
      </c>
      <c r="E28" s="4" t="s">
        <v>10</v>
      </c>
      <c r="F28" s="4" t="s">
        <v>11</v>
      </c>
      <c r="G28" s="4" t="s">
        <v>14</v>
      </c>
      <c r="H28" s="4" t="s">
        <v>13</v>
      </c>
      <c r="I28" s="4" t="s">
        <v>19</v>
      </c>
      <c r="J28" s="4" t="s">
        <v>22</v>
      </c>
      <c r="K28" s="6">
        <f t="shared" si="1"/>
        <v>40.000000000000014</v>
      </c>
      <c r="L28" s="7" t="str" cm="1">
        <f t="array" ref="L28">_xlfn.SWITCH(J28,
  "Bentong Toll Plaza", "Short (0-50km)",
  "Karak Toll Plaza", "Short (0-50km)",
  "Lanchang Toll Plaza", "Medium (50-100km)",
  "Temerloh Toll Plaza", "Medium (50-100km)",
  "Chenor Toll Plaza", "Long (100-200km)",
  "Maran Toll Plaza", "Long (100-200km)",
  "Gambang Toll Plaza", "Long (100-200km)",
  "CHECK"
)</f>
        <v>Short (0-50km)</v>
      </c>
      <c r="M28" s="7" t="str">
        <f t="shared" si="0"/>
        <v>Peak</v>
      </c>
      <c r="N28" s="7" t="str">
        <f t="shared" si="2"/>
        <v>Weekday</v>
      </c>
      <c r="O28" s="7">
        <f t="shared" si="3"/>
        <v>8</v>
      </c>
      <c r="P28" s="7" t="str">
        <f t="shared" si="4"/>
        <v>Jan</v>
      </c>
      <c r="Q28" s="6">
        <f t="shared" si="5"/>
        <v>74.999999999999986</v>
      </c>
      <c r="R28" s="3"/>
    </row>
    <row r="29" spans="1:18" x14ac:dyDescent="0.25">
      <c r="A29" s="4" t="s">
        <v>42</v>
      </c>
      <c r="B29" s="11">
        <v>45292</v>
      </c>
      <c r="C29" s="5">
        <v>0.562962962962963</v>
      </c>
      <c r="D29" s="5">
        <v>0.66365740740740742</v>
      </c>
      <c r="E29" s="4" t="s">
        <v>15</v>
      </c>
      <c r="F29" s="4" t="s">
        <v>23</v>
      </c>
      <c r="G29" s="4" t="s">
        <v>12</v>
      </c>
      <c r="H29" s="4" t="s">
        <v>13</v>
      </c>
      <c r="I29" s="4" t="s">
        <v>19</v>
      </c>
      <c r="J29" s="4" t="s">
        <v>20</v>
      </c>
      <c r="K29" s="6">
        <f t="shared" si="1"/>
        <v>144.99999999999997</v>
      </c>
      <c r="L29" s="7" t="str" cm="1">
        <f t="array" ref="L29">_xlfn.SWITCH(J29,
  "Bentong Toll Plaza", "Short (0-50km)",
  "Karak Toll Plaza", "Short (0-50km)",
  "Lanchang Toll Plaza", "Medium (50-100km)",
  "Temerloh Toll Plaza", "Medium (50-100km)",
  "Chenor Toll Plaza", "Long (100-200km)",
  "Maran Toll Plaza", "Long (100-200km)",
  "Gambang Toll Plaza", "Long (100-200km)",
  "CHECK"
)</f>
        <v>Long (100-200km)</v>
      </c>
      <c r="M29" s="7" t="str">
        <f t="shared" si="0"/>
        <v>Off-Peak</v>
      </c>
      <c r="N29" s="7" t="str">
        <f t="shared" si="2"/>
        <v>Weekday</v>
      </c>
      <c r="O29" s="7">
        <f t="shared" si="3"/>
        <v>13</v>
      </c>
      <c r="P29" s="7" t="str">
        <f t="shared" si="4"/>
        <v>Jan</v>
      </c>
      <c r="Q29" s="6">
        <f t="shared" si="5"/>
        <v>82.758620689655189</v>
      </c>
      <c r="R29" s="3"/>
    </row>
    <row r="30" spans="1:18" x14ac:dyDescent="0.25">
      <c r="A30" s="4" t="s">
        <v>43</v>
      </c>
      <c r="B30" s="11">
        <v>45292</v>
      </c>
      <c r="C30" s="5">
        <v>0.23774305555555555</v>
      </c>
      <c r="D30" s="5">
        <v>0.26968750000000002</v>
      </c>
      <c r="E30" s="4" t="s">
        <v>10</v>
      </c>
      <c r="F30" s="4" t="s">
        <v>11</v>
      </c>
      <c r="G30" s="4" t="s">
        <v>16</v>
      </c>
      <c r="H30" s="4" t="s">
        <v>13</v>
      </c>
      <c r="I30" s="4" t="s">
        <v>19</v>
      </c>
      <c r="J30" s="4" t="s">
        <v>24</v>
      </c>
      <c r="K30" s="6">
        <f t="shared" si="1"/>
        <v>46.000000000000036</v>
      </c>
      <c r="L30" s="7" t="str" cm="1">
        <f t="array" ref="L30">_xlfn.SWITCH(J30,
  "Bentong Toll Plaza", "Short (0-50km)",
  "Karak Toll Plaza", "Short (0-50km)",
  "Lanchang Toll Plaza", "Medium (50-100km)",
  "Temerloh Toll Plaza", "Medium (50-100km)",
  "Chenor Toll Plaza", "Long (100-200km)",
  "Maran Toll Plaza", "Long (100-200km)",
  "Gambang Toll Plaza", "Long (100-200km)",
  "CHECK"
)</f>
        <v>Short (0-50km)</v>
      </c>
      <c r="M30" s="7" t="str">
        <f t="shared" si="0"/>
        <v>Off-Peak</v>
      </c>
      <c r="N30" s="7" t="str">
        <f t="shared" si="2"/>
        <v>Weekday</v>
      </c>
      <c r="O30" s="7">
        <f t="shared" si="3"/>
        <v>5</v>
      </c>
      <c r="P30" s="7" t="str">
        <f t="shared" si="4"/>
        <v>Jan</v>
      </c>
      <c r="Q30" s="6">
        <f t="shared" si="5"/>
        <v>65.217391304347771</v>
      </c>
      <c r="R30" s="3"/>
    </row>
    <row r="31" spans="1:18" x14ac:dyDescent="0.25">
      <c r="A31" s="4" t="s">
        <v>44</v>
      </c>
      <c r="B31" s="11">
        <v>45292</v>
      </c>
      <c r="C31" s="5">
        <v>0.62511574074074072</v>
      </c>
      <c r="D31" s="5">
        <v>0.70150462962962967</v>
      </c>
      <c r="E31" s="4" t="s">
        <v>17</v>
      </c>
      <c r="F31" s="4" t="s">
        <v>18</v>
      </c>
      <c r="G31" s="4" t="s">
        <v>14</v>
      </c>
      <c r="H31" s="4" t="s">
        <v>13</v>
      </c>
      <c r="I31" s="4" t="s">
        <v>19</v>
      </c>
      <c r="J31" s="4" t="s">
        <v>21</v>
      </c>
      <c r="K31" s="6">
        <f t="shared" si="1"/>
        <v>110.00000000000009</v>
      </c>
      <c r="L31" s="7" t="str" cm="1">
        <f t="array" ref="L31">_xlfn.SWITCH(J31,
  "Bentong Toll Plaza", "Short (0-50km)",
  "Karak Toll Plaza", "Short (0-50km)",
  "Lanchang Toll Plaza", "Medium (50-100km)",
  "Temerloh Toll Plaza", "Medium (50-100km)",
  "Chenor Toll Plaza", "Long (100-200km)",
  "Maran Toll Plaza", "Long (100-200km)",
  "Gambang Toll Plaza", "Long (100-200km)",
  "CHECK"
)</f>
        <v>Medium (50-100km)</v>
      </c>
      <c r="M31" s="7" t="str">
        <f t="shared" si="0"/>
        <v>Off-Peak</v>
      </c>
      <c r="N31" s="7" t="str">
        <f t="shared" si="2"/>
        <v>Weekday</v>
      </c>
      <c r="O31" s="7">
        <f t="shared" si="3"/>
        <v>15</v>
      </c>
      <c r="P31" s="7" t="str">
        <f t="shared" si="4"/>
        <v>Jan</v>
      </c>
      <c r="Q31" s="6">
        <f t="shared" si="5"/>
        <v>54.545454545454504</v>
      </c>
      <c r="R31" s="3"/>
    </row>
    <row r="32" spans="1:18" x14ac:dyDescent="0.25">
      <c r="A32" s="4" t="s">
        <v>45</v>
      </c>
      <c r="B32" s="11">
        <v>45292</v>
      </c>
      <c r="C32" s="5">
        <v>0.25372685185185184</v>
      </c>
      <c r="D32" s="5">
        <v>0.28150462962962963</v>
      </c>
      <c r="E32" s="4" t="s">
        <v>10</v>
      </c>
      <c r="F32" s="4" t="s">
        <v>11</v>
      </c>
      <c r="G32" s="4" t="s">
        <v>12</v>
      </c>
      <c r="H32" s="4" t="s">
        <v>13</v>
      </c>
      <c r="I32" s="4" t="s">
        <v>19</v>
      </c>
      <c r="J32" s="4" t="s">
        <v>22</v>
      </c>
      <c r="K32" s="6">
        <f t="shared" si="1"/>
        <v>40.000000000000014</v>
      </c>
      <c r="L32" s="7" t="str" cm="1">
        <f t="array" ref="L32">_xlfn.SWITCH(J32,
  "Bentong Toll Plaza", "Short (0-50km)",
  "Karak Toll Plaza", "Short (0-50km)",
  "Lanchang Toll Plaza", "Medium (50-100km)",
  "Temerloh Toll Plaza", "Medium (50-100km)",
  "Chenor Toll Plaza", "Long (100-200km)",
  "Maran Toll Plaza", "Long (100-200km)",
  "Gambang Toll Plaza", "Long (100-200km)",
  "CHECK"
)</f>
        <v>Short (0-50km)</v>
      </c>
      <c r="M32" s="7" t="str">
        <f t="shared" si="0"/>
        <v>Off-Peak</v>
      </c>
      <c r="N32" s="7" t="str">
        <f t="shared" si="2"/>
        <v>Weekday</v>
      </c>
      <c r="O32" s="7">
        <f t="shared" si="3"/>
        <v>6</v>
      </c>
      <c r="P32" s="7" t="str">
        <f t="shared" si="4"/>
        <v>Jan</v>
      </c>
      <c r="Q32" s="6">
        <f t="shared" si="5"/>
        <v>74.999999999999986</v>
      </c>
      <c r="R32" s="3"/>
    </row>
    <row r="33" spans="1:18" x14ac:dyDescent="0.25">
      <c r="A33" s="4" t="s">
        <v>46</v>
      </c>
      <c r="B33" s="11">
        <v>45292</v>
      </c>
      <c r="C33" s="5">
        <v>0.71704861111111107</v>
      </c>
      <c r="D33" s="5">
        <v>0.80732638888888886</v>
      </c>
      <c r="E33" s="4" t="s">
        <v>15</v>
      </c>
      <c r="F33" s="4" t="s">
        <v>23</v>
      </c>
      <c r="G33" s="4" t="s">
        <v>16</v>
      </c>
      <c r="H33" s="4" t="s">
        <v>13</v>
      </c>
      <c r="I33" s="4" t="s">
        <v>19</v>
      </c>
      <c r="J33" s="4" t="s">
        <v>20</v>
      </c>
      <c r="K33" s="6">
        <f t="shared" si="1"/>
        <v>130.00000000000003</v>
      </c>
      <c r="L33" s="7" t="str" cm="1">
        <f t="array" ref="L33">_xlfn.SWITCH(J33,
  "Bentong Toll Plaza", "Short (0-50km)",
  "Karak Toll Plaza", "Short (0-50km)",
  "Lanchang Toll Plaza", "Medium (50-100km)",
  "Temerloh Toll Plaza", "Medium (50-100km)",
  "Chenor Toll Plaza", "Long (100-200km)",
  "Maran Toll Plaza", "Long (100-200km)",
  "Gambang Toll Plaza", "Long (100-200km)",
  "CHECK"
)</f>
        <v>Long (100-200km)</v>
      </c>
      <c r="M33" s="7" t="str">
        <f t="shared" si="0"/>
        <v>Peak</v>
      </c>
      <c r="N33" s="7" t="str">
        <f t="shared" si="2"/>
        <v>Weekday</v>
      </c>
      <c r="O33" s="7">
        <f t="shared" si="3"/>
        <v>17</v>
      </c>
      <c r="P33" s="7" t="str">
        <f t="shared" si="4"/>
        <v>Jan</v>
      </c>
      <c r="Q33" s="6">
        <f t="shared" si="5"/>
        <v>92.307692307692292</v>
      </c>
      <c r="R33" s="3"/>
    </row>
    <row r="34" spans="1:18" x14ac:dyDescent="0.25">
      <c r="A34" s="4" t="s">
        <v>47</v>
      </c>
      <c r="B34" s="11">
        <v>45292</v>
      </c>
      <c r="C34" s="5">
        <v>0.40295138888888887</v>
      </c>
      <c r="D34" s="5">
        <v>0.48628472222222224</v>
      </c>
      <c r="E34" s="4" t="s">
        <v>17</v>
      </c>
      <c r="F34" s="4" t="s">
        <v>18</v>
      </c>
      <c r="G34" s="4" t="s">
        <v>12</v>
      </c>
      <c r="H34" s="4" t="s">
        <v>13</v>
      </c>
      <c r="I34" s="4" t="s">
        <v>19</v>
      </c>
      <c r="J34" s="4" t="s">
        <v>21</v>
      </c>
      <c r="K34" s="6">
        <f t="shared" si="1"/>
        <v>120.00000000000006</v>
      </c>
      <c r="L34" s="7" t="str" cm="1">
        <f t="array" ref="L34">_xlfn.SWITCH(J34,
  "Bentong Toll Plaza", "Short (0-50km)",
  "Karak Toll Plaza", "Short (0-50km)",
  "Lanchang Toll Plaza", "Medium (50-100km)",
  "Temerloh Toll Plaza", "Medium (50-100km)",
  "Chenor Toll Plaza", "Long (100-200km)",
  "Maran Toll Plaza", "Long (100-200km)",
  "Gambang Toll Plaza", "Long (100-200km)",
  "CHECK"
)</f>
        <v>Medium (50-100km)</v>
      </c>
      <c r="M34" s="7" t="str">
        <f t="shared" si="0"/>
        <v>Off-Peak</v>
      </c>
      <c r="N34" s="7" t="str">
        <f t="shared" si="2"/>
        <v>Weekday</v>
      </c>
      <c r="O34" s="7">
        <f t="shared" si="3"/>
        <v>9</v>
      </c>
      <c r="P34" s="7" t="str">
        <f t="shared" si="4"/>
        <v>Jan</v>
      </c>
      <c r="Q34" s="6">
        <f t="shared" si="5"/>
        <v>49.999999999999979</v>
      </c>
      <c r="R34" s="3"/>
    </row>
    <row r="35" spans="1:18" x14ac:dyDescent="0.25">
      <c r="A35" s="4" t="s">
        <v>48</v>
      </c>
      <c r="B35" s="11">
        <v>45292</v>
      </c>
      <c r="C35" s="5">
        <v>0.61828703703703702</v>
      </c>
      <c r="D35" s="5">
        <v>0.64606481481481481</v>
      </c>
      <c r="E35" s="4" t="s">
        <v>10</v>
      </c>
      <c r="F35" s="4" t="s">
        <v>11</v>
      </c>
      <c r="G35" s="4" t="s">
        <v>14</v>
      </c>
      <c r="H35" s="4" t="s">
        <v>13</v>
      </c>
      <c r="I35" s="4" t="s">
        <v>19</v>
      </c>
      <c r="J35" s="4" t="s">
        <v>22</v>
      </c>
      <c r="K35" s="6">
        <f t="shared" si="1"/>
        <v>40.000000000000014</v>
      </c>
      <c r="L35" s="7" t="str" cm="1">
        <f t="array" ref="L35">_xlfn.SWITCH(J35,
  "Bentong Toll Plaza", "Short (0-50km)",
  "Karak Toll Plaza", "Short (0-50km)",
  "Lanchang Toll Plaza", "Medium (50-100km)",
  "Temerloh Toll Plaza", "Medium (50-100km)",
  "Chenor Toll Plaza", "Long (100-200km)",
  "Maran Toll Plaza", "Long (100-200km)",
  "Gambang Toll Plaza", "Long (100-200km)",
  "CHECK"
)</f>
        <v>Short (0-50km)</v>
      </c>
      <c r="M35" s="7" t="str">
        <f t="shared" si="0"/>
        <v>Off-Peak</v>
      </c>
      <c r="N35" s="7" t="str">
        <f t="shared" si="2"/>
        <v>Weekday</v>
      </c>
      <c r="O35" s="7">
        <f t="shared" si="3"/>
        <v>14</v>
      </c>
      <c r="P35" s="7" t="str">
        <f t="shared" si="4"/>
        <v>Jan</v>
      </c>
      <c r="Q35" s="6">
        <f t="shared" si="5"/>
        <v>74.999999999999986</v>
      </c>
      <c r="R35" s="3"/>
    </row>
    <row r="36" spans="1:18" x14ac:dyDescent="0.25">
      <c r="A36" s="4" t="s">
        <v>49</v>
      </c>
      <c r="B36" s="11">
        <v>45292</v>
      </c>
      <c r="C36" s="5">
        <v>0.43101851851851852</v>
      </c>
      <c r="D36" s="5">
        <v>0.47268518518518521</v>
      </c>
      <c r="E36" s="4" t="s">
        <v>10</v>
      </c>
      <c r="F36" s="4" t="s">
        <v>11</v>
      </c>
      <c r="G36" s="4" t="s">
        <v>16</v>
      </c>
      <c r="H36" s="4" t="s">
        <v>13</v>
      </c>
      <c r="I36" s="4" t="s">
        <v>19</v>
      </c>
      <c r="J36" s="4" t="s">
        <v>24</v>
      </c>
      <c r="K36" s="6">
        <f t="shared" si="1"/>
        <v>60.000000000000028</v>
      </c>
      <c r="L36" s="7" t="str" cm="1">
        <f t="array" ref="L36">_xlfn.SWITCH(J36,
  "Bentong Toll Plaza", "Short (0-50km)",
  "Karak Toll Plaza", "Short (0-50km)",
  "Lanchang Toll Plaza", "Medium (50-100km)",
  "Temerloh Toll Plaza", "Medium (50-100km)",
  "Chenor Toll Plaza", "Long (100-200km)",
  "Maran Toll Plaza", "Long (100-200km)",
  "Gambang Toll Plaza", "Long (100-200km)",
  "CHECK"
)</f>
        <v>Short (0-50km)</v>
      </c>
      <c r="M36" s="7" t="str">
        <f t="shared" si="0"/>
        <v>Off-Peak</v>
      </c>
      <c r="N36" s="7" t="str">
        <f t="shared" si="2"/>
        <v>Weekday</v>
      </c>
      <c r="O36" s="7">
        <f t="shared" si="3"/>
        <v>10</v>
      </c>
      <c r="P36" s="7" t="str">
        <f t="shared" si="4"/>
        <v>Jan</v>
      </c>
      <c r="Q36" s="6">
        <f t="shared" si="5"/>
        <v>49.999999999999979</v>
      </c>
      <c r="R36" s="3"/>
    </row>
    <row r="37" spans="1:18" x14ac:dyDescent="0.25">
      <c r="A37" s="4" t="s">
        <v>50</v>
      </c>
      <c r="B37" s="11">
        <v>45292</v>
      </c>
      <c r="C37" s="5">
        <v>0.34180555555555553</v>
      </c>
      <c r="D37" s="5">
        <v>0.43555555555555553</v>
      </c>
      <c r="E37" s="4" t="s">
        <v>15</v>
      </c>
      <c r="F37" s="4" t="s">
        <v>23</v>
      </c>
      <c r="G37" s="4" t="s">
        <v>12</v>
      </c>
      <c r="H37" s="4" t="s">
        <v>13</v>
      </c>
      <c r="I37" s="4" t="s">
        <v>19</v>
      </c>
      <c r="J37" s="4" t="s">
        <v>21</v>
      </c>
      <c r="K37" s="6">
        <f t="shared" si="1"/>
        <v>135</v>
      </c>
      <c r="L37" s="7" t="str" cm="1">
        <f t="array" ref="L37">_xlfn.SWITCH(J37,
  "Bentong Toll Plaza", "Short (0-50km)",
  "Karak Toll Plaza", "Short (0-50km)",
  "Lanchang Toll Plaza", "Medium (50-100km)",
  "Temerloh Toll Plaza", "Medium (50-100km)",
  "Chenor Toll Plaza", "Long (100-200km)",
  "Maran Toll Plaza", "Long (100-200km)",
  "Gambang Toll Plaza", "Long (100-200km)",
  "CHECK"
)</f>
        <v>Medium (50-100km)</v>
      </c>
      <c r="M37" s="7" t="str">
        <f t="shared" si="0"/>
        <v>Peak</v>
      </c>
      <c r="N37" s="7" t="str">
        <f t="shared" si="2"/>
        <v>Weekday</v>
      </c>
      <c r="O37" s="7">
        <f t="shared" si="3"/>
        <v>8</v>
      </c>
      <c r="P37" s="7" t="str">
        <f t="shared" si="4"/>
        <v>Jan</v>
      </c>
      <c r="Q37" s="6">
        <f t="shared" si="5"/>
        <v>44.444444444444443</v>
      </c>
      <c r="R37" s="3"/>
    </row>
    <row r="38" spans="1:18" x14ac:dyDescent="0.25">
      <c r="A38" s="4" t="s">
        <v>51</v>
      </c>
      <c r="B38" s="11">
        <v>45292</v>
      </c>
      <c r="C38" s="5">
        <v>0.52094907407407409</v>
      </c>
      <c r="D38" s="5">
        <v>0.60428240740740746</v>
      </c>
      <c r="E38" s="4" t="s">
        <v>17</v>
      </c>
      <c r="F38" s="4" t="s">
        <v>18</v>
      </c>
      <c r="G38" s="4" t="s">
        <v>16</v>
      </c>
      <c r="H38" s="4" t="s">
        <v>13</v>
      </c>
      <c r="I38" s="4" t="s">
        <v>19</v>
      </c>
      <c r="J38" s="4" t="s">
        <v>20</v>
      </c>
      <c r="K38" s="6">
        <f t="shared" si="1"/>
        <v>120.00000000000006</v>
      </c>
      <c r="L38" s="7" t="str" cm="1">
        <f t="array" ref="L38">_xlfn.SWITCH(J38,
  "Bentong Toll Plaza", "Short (0-50km)",
  "Karak Toll Plaza", "Short (0-50km)",
  "Lanchang Toll Plaza", "Medium (50-100km)",
  "Temerloh Toll Plaza", "Medium (50-100km)",
  "Chenor Toll Plaza", "Long (100-200km)",
  "Maran Toll Plaza", "Long (100-200km)",
  "Gambang Toll Plaza", "Long (100-200km)",
  "CHECK"
)</f>
        <v>Long (100-200km)</v>
      </c>
      <c r="M38" s="7" t="str">
        <f t="shared" si="0"/>
        <v>Off-Peak</v>
      </c>
      <c r="N38" s="7" t="str">
        <f t="shared" si="2"/>
        <v>Weekday</v>
      </c>
      <c r="O38" s="7">
        <f t="shared" si="3"/>
        <v>12</v>
      </c>
      <c r="P38" s="7" t="str">
        <f t="shared" si="4"/>
        <v>Jan</v>
      </c>
      <c r="Q38" s="6">
        <f t="shared" si="5"/>
        <v>99.999999999999957</v>
      </c>
      <c r="R38" s="3"/>
    </row>
    <row r="39" spans="1:18" x14ac:dyDescent="0.25">
      <c r="A39" s="4" t="s">
        <v>52</v>
      </c>
      <c r="B39" s="11">
        <v>45292</v>
      </c>
      <c r="C39" s="5">
        <v>0.67071759259259256</v>
      </c>
      <c r="D39" s="5">
        <v>0.70196759259259256</v>
      </c>
      <c r="E39" s="4" t="s">
        <v>10</v>
      </c>
      <c r="F39" s="4" t="s">
        <v>11</v>
      </c>
      <c r="G39" s="4" t="s">
        <v>14</v>
      </c>
      <c r="H39" s="4" t="s">
        <v>13</v>
      </c>
      <c r="I39" s="4" t="s">
        <v>19</v>
      </c>
      <c r="J39" s="4" t="s">
        <v>22</v>
      </c>
      <c r="K39" s="6">
        <f t="shared" si="1"/>
        <v>45</v>
      </c>
      <c r="L39" s="7" t="str" cm="1">
        <f t="array" ref="L39">_xlfn.SWITCH(J39,
  "Bentong Toll Plaza", "Short (0-50km)",
  "Karak Toll Plaza", "Short (0-50km)",
  "Lanchang Toll Plaza", "Medium (50-100km)",
  "Temerloh Toll Plaza", "Medium (50-100km)",
  "Chenor Toll Plaza", "Long (100-200km)",
  "Maran Toll Plaza", "Long (100-200km)",
  "Gambang Toll Plaza", "Long (100-200km)",
  "CHECK"
)</f>
        <v>Short (0-50km)</v>
      </c>
      <c r="M39" s="7" t="str">
        <f t="shared" si="0"/>
        <v>Off-Peak</v>
      </c>
      <c r="N39" s="7" t="str">
        <f t="shared" si="2"/>
        <v>Weekday</v>
      </c>
      <c r="O39" s="7">
        <f t="shared" si="3"/>
        <v>16</v>
      </c>
      <c r="P39" s="7" t="str">
        <f t="shared" si="4"/>
        <v>Jan</v>
      </c>
      <c r="Q39" s="6">
        <f t="shared" si="5"/>
        <v>66.666666666666671</v>
      </c>
      <c r="R39" s="3"/>
    </row>
    <row r="40" spans="1:18" x14ac:dyDescent="0.25">
      <c r="A40" s="4" t="s">
        <v>53</v>
      </c>
      <c r="B40" s="11">
        <v>45292</v>
      </c>
      <c r="C40" s="5">
        <v>0.76749999999999996</v>
      </c>
      <c r="D40" s="5">
        <v>0.85083333333333333</v>
      </c>
      <c r="E40" s="4" t="s">
        <v>15</v>
      </c>
      <c r="F40" s="4" t="s">
        <v>23</v>
      </c>
      <c r="G40" s="4" t="s">
        <v>12</v>
      </c>
      <c r="H40" s="4" t="s">
        <v>13</v>
      </c>
      <c r="I40" s="4" t="s">
        <v>19</v>
      </c>
      <c r="J40" s="4" t="s">
        <v>21</v>
      </c>
      <c r="K40" s="6">
        <f t="shared" si="1"/>
        <v>120.00000000000006</v>
      </c>
      <c r="L40" s="7" t="str" cm="1">
        <f t="array" ref="L40">_xlfn.SWITCH(J40,
  "Bentong Toll Plaza", "Short (0-50km)",
  "Karak Toll Plaza", "Short (0-50km)",
  "Lanchang Toll Plaza", "Medium (50-100km)",
  "Temerloh Toll Plaza", "Medium (50-100km)",
  "Chenor Toll Plaza", "Long (100-200km)",
  "Maran Toll Plaza", "Long (100-200km)",
  "Gambang Toll Plaza", "Long (100-200km)",
  "CHECK"
)</f>
        <v>Medium (50-100km)</v>
      </c>
      <c r="M40" s="7" t="str">
        <f t="shared" si="0"/>
        <v>Peak</v>
      </c>
      <c r="N40" s="7" t="str">
        <f t="shared" si="2"/>
        <v>Weekday</v>
      </c>
      <c r="O40" s="7">
        <f t="shared" si="3"/>
        <v>18</v>
      </c>
      <c r="P40" s="7" t="str">
        <f t="shared" si="4"/>
        <v>Jan</v>
      </c>
      <c r="Q40" s="6">
        <f t="shared" si="5"/>
        <v>49.999999999999979</v>
      </c>
      <c r="R40" s="3"/>
    </row>
    <row r="41" spans="1:18" x14ac:dyDescent="0.25">
      <c r="A41" s="4" t="s">
        <v>54</v>
      </c>
      <c r="B41" s="11">
        <v>45292</v>
      </c>
      <c r="C41" s="5">
        <v>0.30243055555555554</v>
      </c>
      <c r="D41" s="5">
        <v>0.33368055555555554</v>
      </c>
      <c r="E41" s="4" t="s">
        <v>10</v>
      </c>
      <c r="F41" s="4" t="s">
        <v>11</v>
      </c>
      <c r="G41" s="4" t="s">
        <v>16</v>
      </c>
      <c r="H41" s="4" t="s">
        <v>13</v>
      </c>
      <c r="I41" s="4" t="s">
        <v>19</v>
      </c>
      <c r="J41" s="4" t="s">
        <v>24</v>
      </c>
      <c r="K41" s="6">
        <f t="shared" si="1"/>
        <v>45</v>
      </c>
      <c r="L41" s="7" t="str" cm="1">
        <f t="array" ref="L41">_xlfn.SWITCH(J41,
  "Bentong Toll Plaza", "Short (0-50km)",
  "Karak Toll Plaza", "Short (0-50km)",
  "Lanchang Toll Plaza", "Medium (50-100km)",
  "Temerloh Toll Plaza", "Medium (50-100km)",
  "Chenor Toll Plaza", "Long (100-200km)",
  "Maran Toll Plaza", "Long (100-200km)",
  "Gambang Toll Plaza", "Long (100-200km)",
  "CHECK"
)</f>
        <v>Short (0-50km)</v>
      </c>
      <c r="M41" s="7" t="str">
        <f t="shared" si="0"/>
        <v>Peak</v>
      </c>
      <c r="N41" s="7" t="str">
        <f t="shared" si="2"/>
        <v>Weekday</v>
      </c>
      <c r="O41" s="7">
        <f t="shared" si="3"/>
        <v>7</v>
      </c>
      <c r="P41" s="7" t="str">
        <f t="shared" si="4"/>
        <v>Jan</v>
      </c>
      <c r="Q41" s="6">
        <f t="shared" si="5"/>
        <v>66.666666666666671</v>
      </c>
      <c r="R41" s="3"/>
    </row>
    <row r="42" spans="1:18" x14ac:dyDescent="0.25">
      <c r="A42" s="4" t="s">
        <v>55</v>
      </c>
      <c r="B42" s="11">
        <v>45292</v>
      </c>
      <c r="C42" s="5">
        <v>0.15986111111111112</v>
      </c>
      <c r="D42" s="5">
        <v>0.19458333333333333</v>
      </c>
      <c r="E42" s="4" t="s">
        <v>10</v>
      </c>
      <c r="F42" s="4" t="s">
        <v>11</v>
      </c>
      <c r="G42" s="4" t="s">
        <v>16</v>
      </c>
      <c r="H42" s="4" t="s">
        <v>13</v>
      </c>
      <c r="I42" s="4" t="s">
        <v>19</v>
      </c>
      <c r="J42" s="4" t="s">
        <v>22</v>
      </c>
      <c r="K42" s="6">
        <f t="shared" si="1"/>
        <v>49.999999999999986</v>
      </c>
      <c r="L42" s="7" t="str" cm="1">
        <f t="array" ref="L42">_xlfn.SWITCH(J42,
  "Bentong Toll Plaza", "Short (0-50km)",
  "Karak Toll Plaza", "Short (0-50km)",
  "Lanchang Toll Plaza", "Medium (50-100km)",
  "Temerloh Toll Plaza", "Medium (50-100km)",
  "Chenor Toll Plaza", "Long (100-200km)",
  "Maran Toll Plaza", "Long (100-200km)",
  "Gambang Toll Plaza", "Long (100-200km)",
  "CHECK"
)</f>
        <v>Short (0-50km)</v>
      </c>
      <c r="M42" s="7" t="str">
        <f t="shared" si="0"/>
        <v>Off-Peak</v>
      </c>
      <c r="N42" s="7" t="str">
        <f t="shared" si="2"/>
        <v>Weekday</v>
      </c>
      <c r="O42" s="7">
        <f t="shared" si="3"/>
        <v>3</v>
      </c>
      <c r="P42" s="7" t="str">
        <f t="shared" si="4"/>
        <v>Jan</v>
      </c>
      <c r="Q42" s="6">
        <f t="shared" si="5"/>
        <v>60.000000000000014</v>
      </c>
      <c r="R42" s="3"/>
    </row>
    <row r="43" spans="1:18" x14ac:dyDescent="0.25">
      <c r="A43" s="4" t="s">
        <v>56</v>
      </c>
      <c r="B43" s="11">
        <v>45292</v>
      </c>
      <c r="C43" s="5">
        <v>0.26782407407407405</v>
      </c>
      <c r="D43" s="5">
        <v>0.35115740740740742</v>
      </c>
      <c r="E43" s="4" t="s">
        <v>17</v>
      </c>
      <c r="F43" s="4" t="s">
        <v>18</v>
      </c>
      <c r="G43" s="4" t="s">
        <v>14</v>
      </c>
      <c r="H43" s="4" t="s">
        <v>13</v>
      </c>
      <c r="I43" s="4" t="s">
        <v>19</v>
      </c>
      <c r="J43" s="4" t="s">
        <v>21</v>
      </c>
      <c r="K43" s="6">
        <f t="shared" si="1"/>
        <v>120.00000000000006</v>
      </c>
      <c r="L43" s="7" t="str" cm="1">
        <f t="array" ref="L43">_xlfn.SWITCH(J43,
  "Bentong Toll Plaza", "Short (0-50km)",
  "Karak Toll Plaza", "Short (0-50km)",
  "Lanchang Toll Plaza", "Medium (50-100km)",
  "Temerloh Toll Plaza", "Medium (50-100km)",
  "Chenor Toll Plaza", "Long (100-200km)",
  "Maran Toll Plaza", "Long (100-200km)",
  "Gambang Toll Plaza", "Long (100-200km)",
  "CHECK"
)</f>
        <v>Medium (50-100km)</v>
      </c>
      <c r="M43" s="7" t="str">
        <f t="shared" si="0"/>
        <v>Off-Peak</v>
      </c>
      <c r="N43" s="7" t="str">
        <f t="shared" si="2"/>
        <v>Weekday</v>
      </c>
      <c r="O43" s="7">
        <f t="shared" si="3"/>
        <v>6</v>
      </c>
      <c r="P43" s="7" t="str">
        <f t="shared" si="4"/>
        <v>Jan</v>
      </c>
      <c r="Q43" s="6">
        <f t="shared" si="5"/>
        <v>49.999999999999979</v>
      </c>
      <c r="R43" s="3"/>
    </row>
    <row r="44" spans="1:18" x14ac:dyDescent="0.25">
      <c r="A44" s="4" t="s">
        <v>57</v>
      </c>
      <c r="B44" s="11">
        <v>45292</v>
      </c>
      <c r="C44" s="5">
        <v>0.50381944444444449</v>
      </c>
      <c r="D44" s="5">
        <v>0.53506944444444449</v>
      </c>
      <c r="E44" s="4" t="s">
        <v>10</v>
      </c>
      <c r="F44" s="4" t="s">
        <v>11</v>
      </c>
      <c r="G44" s="4" t="s">
        <v>12</v>
      </c>
      <c r="H44" s="4" t="s">
        <v>13</v>
      </c>
      <c r="I44" s="4" t="s">
        <v>19</v>
      </c>
      <c r="J44" s="4" t="s">
        <v>24</v>
      </c>
      <c r="K44" s="6">
        <f t="shared" si="1"/>
        <v>45</v>
      </c>
      <c r="L44" s="7" t="str" cm="1">
        <f t="array" ref="L44">_xlfn.SWITCH(J44,
  "Bentong Toll Plaza", "Short (0-50km)",
  "Karak Toll Plaza", "Short (0-50km)",
  "Lanchang Toll Plaza", "Medium (50-100km)",
  "Temerloh Toll Plaza", "Medium (50-100km)",
  "Chenor Toll Plaza", "Long (100-200km)",
  "Maran Toll Plaza", "Long (100-200km)",
  "Gambang Toll Plaza", "Long (100-200km)",
  "CHECK"
)</f>
        <v>Short (0-50km)</v>
      </c>
      <c r="M44" s="7" t="str">
        <f t="shared" si="0"/>
        <v>Off-Peak</v>
      </c>
      <c r="N44" s="7" t="str">
        <f t="shared" si="2"/>
        <v>Weekday</v>
      </c>
      <c r="O44" s="7">
        <f t="shared" si="3"/>
        <v>12</v>
      </c>
      <c r="P44" s="7" t="str">
        <f t="shared" si="4"/>
        <v>Jan</v>
      </c>
      <c r="Q44" s="6">
        <f t="shared" si="5"/>
        <v>66.666666666666671</v>
      </c>
      <c r="R44" s="3"/>
    </row>
    <row r="45" spans="1:18" x14ac:dyDescent="0.25">
      <c r="A45" s="4" t="s">
        <v>58</v>
      </c>
      <c r="B45" s="11">
        <v>45292</v>
      </c>
      <c r="C45" s="5">
        <v>0.59192129629629631</v>
      </c>
      <c r="D45" s="5">
        <v>0.6821990740740741</v>
      </c>
      <c r="E45" s="4" t="s">
        <v>15</v>
      </c>
      <c r="F45" s="4" t="s">
        <v>23</v>
      </c>
      <c r="G45" s="4" t="s">
        <v>16</v>
      </c>
      <c r="H45" s="4" t="s">
        <v>13</v>
      </c>
      <c r="I45" s="4" t="s">
        <v>19</v>
      </c>
      <c r="J45" s="4" t="s">
        <v>20</v>
      </c>
      <c r="K45" s="6">
        <f t="shared" si="1"/>
        <v>130.00000000000003</v>
      </c>
      <c r="L45" s="7" t="str" cm="1">
        <f t="array" ref="L45">_xlfn.SWITCH(J45,
  "Bentong Toll Plaza", "Short (0-50km)",
  "Karak Toll Plaza", "Short (0-50km)",
  "Lanchang Toll Plaza", "Medium (50-100km)",
  "Temerloh Toll Plaza", "Medium (50-100km)",
  "Chenor Toll Plaza", "Long (100-200km)",
  "Maran Toll Plaza", "Long (100-200km)",
  "Gambang Toll Plaza", "Long (100-200km)",
  "CHECK"
)</f>
        <v>Long (100-200km)</v>
      </c>
      <c r="M45" s="7" t="str">
        <f t="shared" si="0"/>
        <v>Off-Peak</v>
      </c>
      <c r="N45" s="7" t="str">
        <f t="shared" si="2"/>
        <v>Weekday</v>
      </c>
      <c r="O45" s="7">
        <f t="shared" si="3"/>
        <v>14</v>
      </c>
      <c r="P45" s="7" t="str">
        <f t="shared" si="4"/>
        <v>Jan</v>
      </c>
      <c r="Q45" s="6">
        <f t="shared" si="5"/>
        <v>92.307692307692292</v>
      </c>
      <c r="R45" s="3"/>
    </row>
    <row r="46" spans="1:18" x14ac:dyDescent="0.25">
      <c r="A46" s="4" t="s">
        <v>59</v>
      </c>
      <c r="B46" s="11">
        <v>45292</v>
      </c>
      <c r="C46" s="5">
        <v>0.39594907407407409</v>
      </c>
      <c r="D46" s="5">
        <v>0.42719907407407409</v>
      </c>
      <c r="E46" s="4" t="s">
        <v>10</v>
      </c>
      <c r="F46" s="4" t="s">
        <v>11</v>
      </c>
      <c r="G46" s="4" t="s">
        <v>14</v>
      </c>
      <c r="H46" s="4" t="s">
        <v>13</v>
      </c>
      <c r="I46" s="4" t="s">
        <v>19</v>
      </c>
      <c r="J46" s="4" t="s">
        <v>22</v>
      </c>
      <c r="K46" s="6">
        <f t="shared" si="1"/>
        <v>45</v>
      </c>
      <c r="L46" s="7" t="str" cm="1">
        <f t="array" ref="L46">_xlfn.SWITCH(J46,
  "Bentong Toll Plaza", "Short (0-50km)",
  "Karak Toll Plaza", "Short (0-50km)",
  "Lanchang Toll Plaza", "Medium (50-100km)",
  "Temerloh Toll Plaza", "Medium (50-100km)",
  "Chenor Toll Plaza", "Long (100-200km)",
  "Maran Toll Plaza", "Long (100-200km)",
  "Gambang Toll Plaza", "Long (100-200km)",
  "CHECK"
)</f>
        <v>Short (0-50km)</v>
      </c>
      <c r="M46" s="7" t="str">
        <f t="shared" si="0"/>
        <v>Off-Peak</v>
      </c>
      <c r="N46" s="7" t="str">
        <f t="shared" si="2"/>
        <v>Weekday</v>
      </c>
      <c r="O46" s="7">
        <f t="shared" si="3"/>
        <v>9</v>
      </c>
      <c r="P46" s="7" t="str">
        <f t="shared" si="4"/>
        <v>Jan</v>
      </c>
      <c r="Q46" s="6">
        <f t="shared" si="5"/>
        <v>66.666666666666671</v>
      </c>
      <c r="R46" s="3"/>
    </row>
    <row r="47" spans="1:18" x14ac:dyDescent="0.25">
      <c r="A47" s="4" t="s">
        <v>60</v>
      </c>
      <c r="B47" s="11">
        <v>45292</v>
      </c>
      <c r="C47" s="5">
        <v>0.32349537037037035</v>
      </c>
      <c r="D47" s="5">
        <v>0.40682870370370372</v>
      </c>
      <c r="E47" s="4" t="s">
        <v>17</v>
      </c>
      <c r="F47" s="4" t="s">
        <v>18</v>
      </c>
      <c r="G47" s="4" t="s">
        <v>16</v>
      </c>
      <c r="H47" s="4" t="s">
        <v>13</v>
      </c>
      <c r="I47" s="4" t="s">
        <v>19</v>
      </c>
      <c r="J47" s="4" t="s">
        <v>21</v>
      </c>
      <c r="K47" s="6">
        <f t="shared" si="1"/>
        <v>120.00000000000006</v>
      </c>
      <c r="L47" s="7" t="str" cm="1">
        <f t="array" ref="L47">_xlfn.SWITCH(J47,
  "Bentong Toll Plaza", "Short (0-50km)",
  "Karak Toll Plaza", "Short (0-50km)",
  "Lanchang Toll Plaza", "Medium (50-100km)",
  "Temerloh Toll Plaza", "Medium (50-100km)",
  "Chenor Toll Plaza", "Long (100-200km)",
  "Maran Toll Plaza", "Long (100-200km)",
  "Gambang Toll Plaza", "Long (100-200km)",
  "CHECK"
)</f>
        <v>Medium (50-100km)</v>
      </c>
      <c r="M47" s="7" t="str">
        <f t="shared" si="0"/>
        <v>Peak</v>
      </c>
      <c r="N47" s="7" t="str">
        <f t="shared" si="2"/>
        <v>Weekday</v>
      </c>
      <c r="O47" s="7">
        <f t="shared" si="3"/>
        <v>7</v>
      </c>
      <c r="P47" s="7" t="str">
        <f t="shared" si="4"/>
        <v>Jan</v>
      </c>
      <c r="Q47" s="6">
        <f t="shared" si="5"/>
        <v>49.999999999999979</v>
      </c>
      <c r="R47" s="3"/>
    </row>
    <row r="48" spans="1:18" x14ac:dyDescent="0.25">
      <c r="A48" s="4" t="s">
        <v>61</v>
      </c>
      <c r="B48" s="11">
        <v>45292</v>
      </c>
      <c r="C48" s="5">
        <v>0.21704861111111112</v>
      </c>
      <c r="D48" s="5">
        <v>0.25871527777777775</v>
      </c>
      <c r="E48" s="4" t="s">
        <v>10</v>
      </c>
      <c r="F48" s="4" t="s">
        <v>11</v>
      </c>
      <c r="G48" s="4" t="s">
        <v>16</v>
      </c>
      <c r="H48" s="4" t="s">
        <v>13</v>
      </c>
      <c r="I48" s="4" t="s">
        <v>19</v>
      </c>
      <c r="J48" s="4" t="s">
        <v>24</v>
      </c>
      <c r="K48" s="6">
        <f t="shared" si="1"/>
        <v>59.999999999999943</v>
      </c>
      <c r="L48" s="7" t="str" cm="1">
        <f t="array" ref="L48">_xlfn.SWITCH(J48,
  "Bentong Toll Plaza", "Short (0-50km)",
  "Karak Toll Plaza", "Short (0-50km)",
  "Lanchang Toll Plaza", "Medium (50-100km)",
  "Temerloh Toll Plaza", "Medium (50-100km)",
  "Chenor Toll Plaza", "Long (100-200km)",
  "Maran Toll Plaza", "Long (100-200km)",
  "Gambang Toll Plaza", "Long (100-200km)",
  "CHECK"
)</f>
        <v>Short (0-50km)</v>
      </c>
      <c r="M48" s="7" t="str">
        <f t="shared" si="0"/>
        <v>Off-Peak</v>
      </c>
      <c r="N48" s="7" t="str">
        <f t="shared" si="2"/>
        <v>Weekday</v>
      </c>
      <c r="O48" s="7">
        <f t="shared" si="3"/>
        <v>5</v>
      </c>
      <c r="P48" s="7" t="str">
        <f t="shared" si="4"/>
        <v>Jan</v>
      </c>
      <c r="Q48" s="6">
        <f t="shared" si="5"/>
        <v>50.00000000000005</v>
      </c>
      <c r="R48" s="3"/>
    </row>
    <row r="49" spans="1:18" x14ac:dyDescent="0.25">
      <c r="A49" s="4" t="s">
        <v>62</v>
      </c>
      <c r="B49" s="11">
        <v>45292</v>
      </c>
      <c r="C49" s="5">
        <v>0.69456018518518514</v>
      </c>
      <c r="D49" s="5">
        <v>0.77789351851851851</v>
      </c>
      <c r="E49" s="4" t="s">
        <v>15</v>
      </c>
      <c r="F49" s="4" t="s">
        <v>23</v>
      </c>
      <c r="G49" s="4" t="s">
        <v>12</v>
      </c>
      <c r="H49" s="4" t="s">
        <v>13</v>
      </c>
      <c r="I49" s="4" t="s">
        <v>19</v>
      </c>
      <c r="J49" s="4" t="s">
        <v>21</v>
      </c>
      <c r="K49" s="6">
        <f t="shared" si="1"/>
        <v>120.00000000000006</v>
      </c>
      <c r="L49" s="7" t="str" cm="1">
        <f t="array" ref="L49">_xlfn.SWITCH(J49,
  "Bentong Toll Plaza", "Short (0-50km)",
  "Karak Toll Plaza", "Short (0-50km)",
  "Lanchang Toll Plaza", "Medium (50-100km)",
  "Temerloh Toll Plaza", "Medium (50-100km)",
  "Chenor Toll Plaza", "Long (100-200km)",
  "Maran Toll Plaza", "Long (100-200km)",
  "Gambang Toll Plaza", "Long (100-200km)",
  "CHECK"
)</f>
        <v>Medium (50-100km)</v>
      </c>
      <c r="M49" s="7" t="str">
        <f t="shared" si="0"/>
        <v>Off-Peak</v>
      </c>
      <c r="N49" s="7" t="str">
        <f t="shared" si="2"/>
        <v>Weekday</v>
      </c>
      <c r="O49" s="7">
        <f t="shared" si="3"/>
        <v>16</v>
      </c>
      <c r="P49" s="7" t="str">
        <f t="shared" si="4"/>
        <v>Jan</v>
      </c>
      <c r="Q49" s="6">
        <f t="shared" si="5"/>
        <v>49.999999999999979</v>
      </c>
      <c r="R49" s="3"/>
    </row>
    <row r="50" spans="1:18" x14ac:dyDescent="0.25">
      <c r="A50" s="4" t="s">
        <v>63</v>
      </c>
      <c r="B50" s="11">
        <v>45292</v>
      </c>
      <c r="C50" s="5">
        <v>0.54531249999999998</v>
      </c>
      <c r="D50" s="5">
        <v>0.57656249999999998</v>
      </c>
      <c r="E50" s="4" t="s">
        <v>10</v>
      </c>
      <c r="F50" s="4" t="s">
        <v>11</v>
      </c>
      <c r="G50" s="4" t="s">
        <v>14</v>
      </c>
      <c r="H50" s="4" t="s">
        <v>13</v>
      </c>
      <c r="I50" s="4" t="s">
        <v>19</v>
      </c>
      <c r="J50" s="4" t="s">
        <v>22</v>
      </c>
      <c r="K50" s="6">
        <f t="shared" si="1"/>
        <v>45</v>
      </c>
      <c r="L50" s="7" t="str" cm="1">
        <f t="array" ref="L50">_xlfn.SWITCH(J50,
  "Bentong Toll Plaza", "Short (0-50km)",
  "Karak Toll Plaza", "Short (0-50km)",
  "Lanchang Toll Plaza", "Medium (50-100km)",
  "Temerloh Toll Plaza", "Medium (50-100km)",
  "Chenor Toll Plaza", "Long (100-200km)",
  "Maran Toll Plaza", "Long (100-200km)",
  "Gambang Toll Plaza", "Long (100-200km)",
  "CHECK"
)</f>
        <v>Short (0-50km)</v>
      </c>
      <c r="M50" s="7" t="str">
        <f t="shared" si="0"/>
        <v>Off-Peak</v>
      </c>
      <c r="N50" s="7" t="str">
        <f t="shared" si="2"/>
        <v>Weekday</v>
      </c>
      <c r="O50" s="7">
        <f t="shared" si="3"/>
        <v>13</v>
      </c>
      <c r="P50" s="7" t="str">
        <f t="shared" si="4"/>
        <v>Jan</v>
      </c>
      <c r="Q50" s="6">
        <f t="shared" si="5"/>
        <v>66.666666666666671</v>
      </c>
      <c r="R50" s="3"/>
    </row>
    <row r="51" spans="1:18" x14ac:dyDescent="0.25">
      <c r="A51" s="4" t="s">
        <v>64</v>
      </c>
      <c r="B51" s="11">
        <v>45292</v>
      </c>
      <c r="C51" s="5">
        <v>0.42386574074074074</v>
      </c>
      <c r="D51" s="5">
        <v>0.50719907407407405</v>
      </c>
      <c r="E51" s="4" t="s">
        <v>17</v>
      </c>
      <c r="F51" s="4" t="s">
        <v>18</v>
      </c>
      <c r="G51" s="4" t="s">
        <v>16</v>
      </c>
      <c r="H51" s="4" t="s">
        <v>13</v>
      </c>
      <c r="I51" s="4" t="s">
        <v>19</v>
      </c>
      <c r="J51" s="4" t="s">
        <v>20</v>
      </c>
      <c r="K51" s="6">
        <f t="shared" si="1"/>
        <v>119.99999999999997</v>
      </c>
      <c r="L51" s="7" t="str" cm="1">
        <f t="array" ref="L51">_xlfn.SWITCH(J51,
  "Bentong Toll Plaza", "Short (0-50km)",
  "Karak Toll Plaza", "Short (0-50km)",
  "Lanchang Toll Plaza", "Medium (50-100km)",
  "Temerloh Toll Plaza", "Medium (50-100km)",
  "Chenor Toll Plaza", "Long (100-200km)",
  "Maran Toll Plaza", "Long (100-200km)",
  "Gambang Toll Plaza", "Long (100-200km)",
  "CHECK"
)</f>
        <v>Long (100-200km)</v>
      </c>
      <c r="M51" s="7" t="str">
        <f t="shared" si="0"/>
        <v>Off-Peak</v>
      </c>
      <c r="N51" s="7" t="str">
        <f t="shared" si="2"/>
        <v>Weekday</v>
      </c>
      <c r="O51" s="7">
        <f t="shared" si="3"/>
        <v>10</v>
      </c>
      <c r="P51" s="7" t="str">
        <f t="shared" si="4"/>
        <v>Jan</v>
      </c>
      <c r="Q51" s="6">
        <f t="shared" si="5"/>
        <v>100.00000000000003</v>
      </c>
      <c r="R51" s="3"/>
    </row>
    <row r="52" spans="1:18" x14ac:dyDescent="0.25">
      <c r="A52" s="4" t="s">
        <v>65</v>
      </c>
      <c r="B52" s="11">
        <v>45292</v>
      </c>
      <c r="C52" s="5">
        <v>0.20177083333333334</v>
      </c>
      <c r="D52" s="5">
        <v>0.23302083333333334</v>
      </c>
      <c r="E52" s="4" t="s">
        <v>10</v>
      </c>
      <c r="F52" s="4" t="s">
        <v>11</v>
      </c>
      <c r="G52" s="4" t="s">
        <v>14</v>
      </c>
      <c r="H52" s="4" t="s">
        <v>13</v>
      </c>
      <c r="I52" s="4" t="s">
        <v>19</v>
      </c>
      <c r="J52" s="4" t="s">
        <v>24</v>
      </c>
      <c r="K52" s="6">
        <f t="shared" si="1"/>
        <v>45</v>
      </c>
      <c r="L52" s="7" t="str" cm="1">
        <f t="array" ref="L52">_xlfn.SWITCH(J52,
  "Bentong Toll Plaza", "Short (0-50km)",
  "Karak Toll Plaza", "Short (0-50km)",
  "Lanchang Toll Plaza", "Medium (50-100km)",
  "Temerloh Toll Plaza", "Medium (50-100km)",
  "Chenor Toll Plaza", "Long (100-200km)",
  "Maran Toll Plaza", "Long (100-200km)",
  "Gambang Toll Plaza", "Long (100-200km)",
  "CHECK"
)</f>
        <v>Short (0-50km)</v>
      </c>
      <c r="M52" s="7" t="str">
        <f t="shared" si="0"/>
        <v>Off-Peak</v>
      </c>
      <c r="N52" s="7" t="str">
        <f t="shared" si="2"/>
        <v>Weekday</v>
      </c>
      <c r="O52" s="7">
        <f t="shared" si="3"/>
        <v>4</v>
      </c>
      <c r="P52" s="7" t="str">
        <f t="shared" si="4"/>
        <v>Jan</v>
      </c>
      <c r="Q52" s="6">
        <f t="shared" si="5"/>
        <v>66.666666666666671</v>
      </c>
      <c r="R52" s="3"/>
    </row>
    <row r="53" spans="1:18" x14ac:dyDescent="0.25">
      <c r="A53" s="4" t="s">
        <v>66</v>
      </c>
      <c r="B53" s="11">
        <v>45292</v>
      </c>
      <c r="C53" s="5">
        <v>0.64282407407407405</v>
      </c>
      <c r="D53" s="5">
        <v>0.72615740740740742</v>
      </c>
      <c r="E53" s="4" t="s">
        <v>15</v>
      </c>
      <c r="F53" s="4" t="s">
        <v>23</v>
      </c>
      <c r="G53" s="4" t="s">
        <v>12</v>
      </c>
      <c r="H53" s="4" t="s">
        <v>13</v>
      </c>
      <c r="I53" s="4" t="s">
        <v>19</v>
      </c>
      <c r="J53" s="4" t="s">
        <v>21</v>
      </c>
      <c r="K53" s="6">
        <f t="shared" si="1"/>
        <v>120.00000000000006</v>
      </c>
      <c r="L53" s="7" t="str" cm="1">
        <f t="array" ref="L53">_xlfn.SWITCH(J53,
  "Bentong Toll Plaza", "Short (0-50km)",
  "Karak Toll Plaza", "Short (0-50km)",
  "Lanchang Toll Plaza", "Medium (50-100km)",
  "Temerloh Toll Plaza", "Medium (50-100km)",
  "Chenor Toll Plaza", "Long (100-200km)",
  "Maran Toll Plaza", "Long (100-200km)",
  "Gambang Toll Plaza", "Long (100-200km)",
  "CHECK"
)</f>
        <v>Medium (50-100km)</v>
      </c>
      <c r="M53" s="7" t="str">
        <f t="shared" si="0"/>
        <v>Off-Peak</v>
      </c>
      <c r="N53" s="7" t="str">
        <f t="shared" si="2"/>
        <v>Weekday</v>
      </c>
      <c r="O53" s="7">
        <f t="shared" si="3"/>
        <v>15</v>
      </c>
      <c r="P53" s="7" t="str">
        <f t="shared" si="4"/>
        <v>Jan</v>
      </c>
      <c r="Q53" s="6">
        <f t="shared" si="5"/>
        <v>49.999999999999979</v>
      </c>
      <c r="R53" s="3"/>
    </row>
    <row r="54" spans="1:18" x14ac:dyDescent="0.25">
      <c r="A54" s="4" t="s">
        <v>67</v>
      </c>
      <c r="B54" s="11">
        <v>45292</v>
      </c>
      <c r="C54" s="5">
        <v>0.33694444444444444</v>
      </c>
      <c r="D54" s="5">
        <v>0.42027777777777775</v>
      </c>
      <c r="E54" s="4" t="s">
        <v>17</v>
      </c>
      <c r="F54" s="4" t="s">
        <v>18</v>
      </c>
      <c r="G54" s="4" t="s">
        <v>16</v>
      </c>
      <c r="H54" s="4" t="s">
        <v>13</v>
      </c>
      <c r="I54" s="4" t="s">
        <v>19</v>
      </c>
      <c r="J54" s="4" t="s">
        <v>20</v>
      </c>
      <c r="K54" s="6">
        <f t="shared" si="1"/>
        <v>119.99999999999997</v>
      </c>
      <c r="L54" s="7" t="str" cm="1">
        <f t="array" ref="L54">_xlfn.SWITCH(J54,
  "Bentong Toll Plaza", "Short (0-50km)",
  "Karak Toll Plaza", "Short (0-50km)",
  "Lanchang Toll Plaza", "Medium (50-100km)",
  "Temerloh Toll Plaza", "Medium (50-100km)",
  "Chenor Toll Plaza", "Long (100-200km)",
  "Maran Toll Plaza", "Long (100-200km)",
  "Gambang Toll Plaza", "Long (100-200km)",
  "CHECK"
)</f>
        <v>Long (100-200km)</v>
      </c>
      <c r="M54" s="7" t="str">
        <f t="shared" si="0"/>
        <v>Peak</v>
      </c>
      <c r="N54" s="7" t="str">
        <f t="shared" si="2"/>
        <v>Weekday</v>
      </c>
      <c r="O54" s="7">
        <f t="shared" si="3"/>
        <v>8</v>
      </c>
      <c r="P54" s="7" t="str">
        <f t="shared" si="4"/>
        <v>Jan</v>
      </c>
      <c r="Q54" s="6">
        <f t="shared" si="5"/>
        <v>100.00000000000003</v>
      </c>
      <c r="R54" s="3"/>
    </row>
    <row r="55" spans="1:18" x14ac:dyDescent="0.25">
      <c r="A55" s="4" t="s">
        <v>68</v>
      </c>
      <c r="B55" s="11">
        <v>45292</v>
      </c>
      <c r="C55" s="5">
        <v>0.28483796296296299</v>
      </c>
      <c r="D55" s="5">
        <v>0.31608796296296299</v>
      </c>
      <c r="E55" s="4" t="s">
        <v>10</v>
      </c>
      <c r="F55" s="4" t="s">
        <v>11</v>
      </c>
      <c r="G55" s="4" t="s">
        <v>14</v>
      </c>
      <c r="H55" s="4" t="s">
        <v>13</v>
      </c>
      <c r="I55" s="4" t="s">
        <v>19</v>
      </c>
      <c r="J55" s="4" t="s">
        <v>22</v>
      </c>
      <c r="K55" s="6">
        <f t="shared" si="1"/>
        <v>45</v>
      </c>
      <c r="L55" s="7" t="str" cm="1">
        <f t="array" ref="L55">_xlfn.SWITCH(J55,
  "Bentong Toll Plaza", "Short (0-50km)",
  "Karak Toll Plaza", "Short (0-50km)",
  "Lanchang Toll Plaza", "Medium (50-100km)",
  "Temerloh Toll Plaza", "Medium (50-100km)",
  "Chenor Toll Plaza", "Long (100-200km)",
  "Maran Toll Plaza", "Long (100-200km)",
  "Gambang Toll Plaza", "Long (100-200km)",
  "CHECK"
)</f>
        <v>Short (0-50km)</v>
      </c>
      <c r="M55" s="7" t="str">
        <f t="shared" si="0"/>
        <v>Off-Peak</v>
      </c>
      <c r="N55" s="7" t="str">
        <f t="shared" si="2"/>
        <v>Weekday</v>
      </c>
      <c r="O55" s="7">
        <f t="shared" si="3"/>
        <v>6</v>
      </c>
      <c r="P55" s="7" t="str">
        <f t="shared" si="4"/>
        <v>Jan</v>
      </c>
      <c r="Q55" s="6">
        <f t="shared" si="5"/>
        <v>66.666666666666671</v>
      </c>
      <c r="R55" s="3"/>
    </row>
    <row r="56" spans="1:18" x14ac:dyDescent="0.25">
      <c r="A56" s="4" t="s">
        <v>69</v>
      </c>
      <c r="B56" s="11">
        <v>45292</v>
      </c>
      <c r="C56" s="5">
        <v>0.46909722222222222</v>
      </c>
      <c r="D56" s="5">
        <v>0.50034722222222228</v>
      </c>
      <c r="E56" s="4" t="s">
        <v>10</v>
      </c>
      <c r="F56" s="4" t="s">
        <v>11</v>
      </c>
      <c r="G56" s="4" t="s">
        <v>16</v>
      </c>
      <c r="H56" s="4" t="s">
        <v>13</v>
      </c>
      <c r="I56" s="4" t="s">
        <v>19</v>
      </c>
      <c r="J56" s="4" t="s">
        <v>24</v>
      </c>
      <c r="K56" s="6">
        <f t="shared" si="1"/>
        <v>45.000000000000078</v>
      </c>
      <c r="L56" s="7" t="str" cm="1">
        <f t="array" ref="L56">_xlfn.SWITCH(J56,
  "Bentong Toll Plaza", "Short (0-50km)",
  "Karak Toll Plaza", "Short (0-50km)",
  "Lanchang Toll Plaza", "Medium (50-100km)",
  "Temerloh Toll Plaza", "Medium (50-100km)",
  "Chenor Toll Plaza", "Long (100-200km)",
  "Maran Toll Plaza", "Long (100-200km)",
  "Gambang Toll Plaza", "Long (100-200km)",
  "CHECK"
)</f>
        <v>Short (0-50km)</v>
      </c>
      <c r="M56" s="7" t="str">
        <f t="shared" si="0"/>
        <v>Off-Peak</v>
      </c>
      <c r="N56" s="7" t="str">
        <f t="shared" si="2"/>
        <v>Weekday</v>
      </c>
      <c r="O56" s="7">
        <f t="shared" si="3"/>
        <v>11</v>
      </c>
      <c r="P56" s="7" t="str">
        <f t="shared" si="4"/>
        <v>Jan</v>
      </c>
      <c r="Q56" s="6">
        <f t="shared" si="5"/>
        <v>66.666666666666544</v>
      </c>
      <c r="R56" s="3"/>
    </row>
    <row r="57" spans="1:18" x14ac:dyDescent="0.25">
      <c r="A57" s="4" t="s">
        <v>70</v>
      </c>
      <c r="B57" s="11">
        <v>45292</v>
      </c>
      <c r="C57" s="5">
        <v>0.7123842592592593</v>
      </c>
      <c r="D57" s="5">
        <v>0.79571759259259256</v>
      </c>
      <c r="E57" s="4" t="s">
        <v>15</v>
      </c>
      <c r="F57" s="4" t="s">
        <v>23</v>
      </c>
      <c r="G57" s="4" t="s">
        <v>12</v>
      </c>
      <c r="H57" s="4" t="s">
        <v>13</v>
      </c>
      <c r="I57" s="4" t="s">
        <v>19</v>
      </c>
      <c r="J57" s="4" t="s">
        <v>20</v>
      </c>
      <c r="K57" s="6">
        <f t="shared" si="1"/>
        <v>119.99999999999989</v>
      </c>
      <c r="L57" s="7" t="str" cm="1">
        <f t="array" ref="L57">_xlfn.SWITCH(J57,
  "Bentong Toll Plaza", "Short (0-50km)",
  "Karak Toll Plaza", "Short (0-50km)",
  "Lanchang Toll Plaza", "Medium (50-100km)",
  "Temerloh Toll Plaza", "Medium (50-100km)",
  "Chenor Toll Plaza", "Long (100-200km)",
  "Maran Toll Plaza", "Long (100-200km)",
  "Gambang Toll Plaza", "Long (100-200km)",
  "CHECK"
)</f>
        <v>Long (100-200km)</v>
      </c>
      <c r="M57" s="7" t="str">
        <f t="shared" si="0"/>
        <v>Peak</v>
      </c>
      <c r="N57" s="7" t="str">
        <f t="shared" si="2"/>
        <v>Weekday</v>
      </c>
      <c r="O57" s="7">
        <f t="shared" si="3"/>
        <v>17</v>
      </c>
      <c r="P57" s="7" t="str">
        <f t="shared" si="4"/>
        <v>Jan</v>
      </c>
      <c r="Q57" s="6">
        <f t="shared" si="5"/>
        <v>100.0000000000001</v>
      </c>
      <c r="R57" s="3"/>
    </row>
    <row r="58" spans="1:18" x14ac:dyDescent="0.25">
      <c r="A58" s="4" t="s">
        <v>71</v>
      </c>
      <c r="B58" s="11">
        <v>45292</v>
      </c>
      <c r="C58" s="5">
        <v>0.40303240740740742</v>
      </c>
      <c r="D58" s="5">
        <v>0.48636574074074074</v>
      </c>
      <c r="E58" s="4" t="s">
        <v>17</v>
      </c>
      <c r="F58" s="4" t="s">
        <v>18</v>
      </c>
      <c r="G58" s="4" t="s">
        <v>14</v>
      </c>
      <c r="H58" s="4" t="s">
        <v>13</v>
      </c>
      <c r="I58" s="4" t="s">
        <v>19</v>
      </c>
      <c r="J58" s="4" t="s">
        <v>21</v>
      </c>
      <c r="K58" s="6">
        <f t="shared" si="1"/>
        <v>119.99999999999997</v>
      </c>
      <c r="L58" s="7" t="str" cm="1">
        <f t="array" ref="L58">_xlfn.SWITCH(J58,
  "Bentong Toll Plaza", "Short (0-50km)",
  "Karak Toll Plaza", "Short (0-50km)",
  "Lanchang Toll Plaza", "Medium (50-100km)",
  "Temerloh Toll Plaza", "Medium (50-100km)",
  "Chenor Toll Plaza", "Long (100-200km)",
  "Maran Toll Plaza", "Long (100-200km)",
  "Gambang Toll Plaza", "Long (100-200km)",
  "CHECK"
)</f>
        <v>Medium (50-100km)</v>
      </c>
      <c r="M58" s="7" t="str">
        <f t="shared" si="0"/>
        <v>Off-Peak</v>
      </c>
      <c r="N58" s="7" t="str">
        <f t="shared" si="2"/>
        <v>Weekday</v>
      </c>
      <c r="O58" s="7">
        <f t="shared" si="3"/>
        <v>9</v>
      </c>
      <c r="P58" s="7" t="str">
        <f t="shared" si="4"/>
        <v>Jan</v>
      </c>
      <c r="Q58" s="6">
        <f t="shared" si="5"/>
        <v>50.000000000000014</v>
      </c>
      <c r="R58" s="3"/>
    </row>
    <row r="59" spans="1:18" x14ac:dyDescent="0.25">
      <c r="A59" s="4" t="s">
        <v>72</v>
      </c>
      <c r="B59" s="11">
        <v>45292</v>
      </c>
      <c r="C59" s="5">
        <v>0.30011574074074077</v>
      </c>
      <c r="D59" s="5">
        <v>0.3417824074074074</v>
      </c>
      <c r="E59" s="4" t="s">
        <v>10</v>
      </c>
      <c r="F59" s="4" t="s">
        <v>11</v>
      </c>
      <c r="G59" s="4" t="s">
        <v>16</v>
      </c>
      <c r="H59" s="4" t="s">
        <v>13</v>
      </c>
      <c r="I59" s="4" t="s">
        <v>19</v>
      </c>
      <c r="J59" s="4" t="s">
        <v>22</v>
      </c>
      <c r="K59" s="6">
        <f t="shared" si="1"/>
        <v>59.999999999999943</v>
      </c>
      <c r="L59" s="7" t="str" cm="1">
        <f t="array" ref="L59">_xlfn.SWITCH(J59,
  "Bentong Toll Plaza", "Short (0-50km)",
  "Karak Toll Plaza", "Short (0-50km)",
  "Lanchang Toll Plaza", "Medium (50-100km)",
  "Temerloh Toll Plaza", "Medium (50-100km)",
  "Chenor Toll Plaza", "Long (100-200km)",
  "Maran Toll Plaza", "Long (100-200km)",
  "Gambang Toll Plaza", "Long (100-200km)",
  "CHECK"
)</f>
        <v>Short (0-50km)</v>
      </c>
      <c r="M59" s="7" t="str">
        <f t="shared" si="0"/>
        <v>Peak</v>
      </c>
      <c r="N59" s="7" t="str">
        <f t="shared" si="2"/>
        <v>Weekday</v>
      </c>
      <c r="O59" s="7">
        <f t="shared" si="3"/>
        <v>7</v>
      </c>
      <c r="P59" s="7" t="str">
        <f t="shared" si="4"/>
        <v>Jan</v>
      </c>
      <c r="Q59" s="6">
        <f t="shared" si="5"/>
        <v>50.00000000000005</v>
      </c>
      <c r="R59" s="3"/>
    </row>
    <row r="60" spans="1:18" x14ac:dyDescent="0.25">
      <c r="A60" s="4" t="s">
        <v>73</v>
      </c>
      <c r="B60" s="11">
        <v>45292</v>
      </c>
      <c r="C60" s="5">
        <v>0.55937499999999996</v>
      </c>
      <c r="D60" s="5">
        <v>0.64270833333333333</v>
      </c>
      <c r="E60" s="4" t="s">
        <v>15</v>
      </c>
      <c r="F60" s="4" t="s">
        <v>23</v>
      </c>
      <c r="G60" s="4" t="s">
        <v>12</v>
      </c>
      <c r="H60" s="4" t="s">
        <v>13</v>
      </c>
      <c r="I60" s="4" t="s">
        <v>19</v>
      </c>
      <c r="J60" s="4" t="s">
        <v>21</v>
      </c>
      <c r="K60" s="6">
        <f t="shared" si="1"/>
        <v>120.00000000000006</v>
      </c>
      <c r="L60" s="7" t="str" cm="1">
        <f t="array" ref="L60">_xlfn.SWITCH(J60,
  "Bentong Toll Plaza", "Short (0-50km)",
  "Karak Toll Plaza", "Short (0-50km)",
  "Lanchang Toll Plaza", "Medium (50-100km)",
  "Temerloh Toll Plaza", "Medium (50-100km)",
  "Chenor Toll Plaza", "Long (100-200km)",
  "Maran Toll Plaza", "Long (100-200km)",
  "Gambang Toll Plaza", "Long (100-200km)",
  "CHECK"
)</f>
        <v>Medium (50-100km)</v>
      </c>
      <c r="M60" s="7" t="str">
        <f t="shared" si="0"/>
        <v>Off-Peak</v>
      </c>
      <c r="N60" s="7" t="str">
        <f t="shared" si="2"/>
        <v>Weekday</v>
      </c>
      <c r="O60" s="7">
        <f t="shared" si="3"/>
        <v>13</v>
      </c>
      <c r="P60" s="7" t="str">
        <f t="shared" si="4"/>
        <v>Jan</v>
      </c>
      <c r="Q60" s="6">
        <f t="shared" si="5"/>
        <v>49.999999999999979</v>
      </c>
      <c r="R60" s="3"/>
    </row>
    <row r="61" spans="1:18" x14ac:dyDescent="0.25">
      <c r="A61" s="4" t="s">
        <v>74</v>
      </c>
      <c r="B61" s="11">
        <v>45292</v>
      </c>
      <c r="C61" s="5">
        <v>0.2434375</v>
      </c>
      <c r="D61" s="5">
        <v>0.27468749999999997</v>
      </c>
      <c r="E61" s="4" t="s">
        <v>10</v>
      </c>
      <c r="F61" s="4" t="s">
        <v>11</v>
      </c>
      <c r="G61" s="4" t="s">
        <v>14</v>
      </c>
      <c r="H61" s="4" t="s">
        <v>13</v>
      </c>
      <c r="I61" s="4" t="s">
        <v>19</v>
      </c>
      <c r="J61" s="4" t="s">
        <v>24</v>
      </c>
      <c r="K61" s="6">
        <f t="shared" si="1"/>
        <v>44.999999999999957</v>
      </c>
      <c r="L61" s="7" t="str" cm="1">
        <f t="array" ref="L61">_xlfn.SWITCH(J61,
  "Bentong Toll Plaza", "Short (0-50km)",
  "Karak Toll Plaza", "Short (0-50km)",
  "Lanchang Toll Plaza", "Medium (50-100km)",
  "Temerloh Toll Plaza", "Medium (50-100km)",
  "Chenor Toll Plaza", "Long (100-200km)",
  "Maran Toll Plaza", "Long (100-200km)",
  "Gambang Toll Plaza", "Long (100-200km)",
  "CHECK"
)</f>
        <v>Short (0-50km)</v>
      </c>
      <c r="M61" s="7" t="str">
        <f t="shared" si="0"/>
        <v>Off-Peak</v>
      </c>
      <c r="N61" s="7" t="str">
        <f t="shared" si="2"/>
        <v>Weekday</v>
      </c>
      <c r="O61" s="7">
        <f t="shared" si="3"/>
        <v>5</v>
      </c>
      <c r="P61" s="7" t="str">
        <f t="shared" si="4"/>
        <v>Jan</v>
      </c>
      <c r="Q61" s="6">
        <f t="shared" si="5"/>
        <v>66.666666666666728</v>
      </c>
      <c r="R61" s="3"/>
    </row>
    <row r="62" spans="1:18" x14ac:dyDescent="0.25">
      <c r="A62" s="13" t="s">
        <v>75</v>
      </c>
      <c r="B62" s="15">
        <v>45327</v>
      </c>
      <c r="C62" s="16">
        <v>0.2653935185185185</v>
      </c>
      <c r="D62" s="13">
        <v>0.2966435185185185</v>
      </c>
      <c r="E62" s="13" t="s">
        <v>10</v>
      </c>
      <c r="F62" s="13" t="s">
        <v>11</v>
      </c>
      <c r="G62" s="13" t="s">
        <v>16</v>
      </c>
      <c r="H62" s="13" t="s">
        <v>13</v>
      </c>
      <c r="I62" s="13" t="s">
        <v>19</v>
      </c>
      <c r="J62" s="13" t="s">
        <v>22</v>
      </c>
      <c r="K62" s="6">
        <f t="shared" si="1"/>
        <v>45</v>
      </c>
      <c r="L62" s="7" t="str" cm="1">
        <f t="array" ref="L62">_xlfn.SWITCH(J62,
  "Bentong Toll Plaza", "Short (0-50km)",
  "Karak Toll Plaza", "Short (0-50km)",
  "Lanchang Toll Plaza", "Medium (50-100km)",
  "Temerloh Toll Plaza", "Medium (50-100km)",
  "Chenor Toll Plaza", "Long (100-200km)",
  "Maran Toll Plaza", "Long (100-200km)",
  "Gambang Toll Plaza", "Long (100-200km)",
  "CHECK"
)</f>
        <v>Short (0-50km)</v>
      </c>
      <c r="M62" s="7" t="str">
        <f t="shared" si="0"/>
        <v>Off-Peak</v>
      </c>
      <c r="N62" s="7" t="str">
        <f t="shared" si="2"/>
        <v>Weekday</v>
      </c>
      <c r="O62" s="7">
        <f t="shared" si="3"/>
        <v>6</v>
      </c>
      <c r="P62" s="7" t="str">
        <f t="shared" si="4"/>
        <v>Feb</v>
      </c>
      <c r="Q62" s="6">
        <f t="shared" si="5"/>
        <v>66.666666666666671</v>
      </c>
    </row>
    <row r="63" spans="1:18" x14ac:dyDescent="0.25">
      <c r="A63" s="13" t="s">
        <v>76</v>
      </c>
      <c r="B63" s="15">
        <v>45365</v>
      </c>
      <c r="C63" s="16">
        <v>0.75372685185185184</v>
      </c>
      <c r="D63" s="13">
        <v>0.83706018518518521</v>
      </c>
      <c r="E63" s="13" t="s">
        <v>15</v>
      </c>
      <c r="F63" s="13" t="s">
        <v>23</v>
      </c>
      <c r="G63" s="13" t="s">
        <v>12</v>
      </c>
      <c r="H63" s="13" t="s">
        <v>13</v>
      </c>
      <c r="I63" s="13" t="s">
        <v>19</v>
      </c>
      <c r="J63" s="13" t="s">
        <v>21</v>
      </c>
      <c r="K63" s="6">
        <f t="shared" si="1"/>
        <v>120.00000000000006</v>
      </c>
      <c r="L63" s="7" t="str" cm="1">
        <f t="array" ref="L63">_xlfn.SWITCH(J63,
  "Bentong Toll Plaza", "Short (0-50km)",
  "Karak Toll Plaza", "Short (0-50km)",
  "Lanchang Toll Plaza", "Medium (50-100km)",
  "Temerloh Toll Plaza", "Medium (50-100km)",
  "Chenor Toll Plaza", "Long (100-200km)",
  "Maran Toll Plaza", "Long (100-200km)",
  "Gambang Toll Plaza", "Long (100-200km)",
  "CHECK"
)</f>
        <v>Medium (50-100km)</v>
      </c>
      <c r="M63" s="7" t="str">
        <f t="shared" si="0"/>
        <v>Peak</v>
      </c>
      <c r="N63" s="7" t="str">
        <f t="shared" si="2"/>
        <v>Weekday</v>
      </c>
      <c r="O63" s="7">
        <f t="shared" si="3"/>
        <v>18</v>
      </c>
      <c r="P63" s="7" t="str">
        <f t="shared" si="4"/>
        <v>Mar</v>
      </c>
      <c r="Q63" s="6">
        <f t="shared" si="5"/>
        <v>49.999999999999979</v>
      </c>
    </row>
    <row r="64" spans="1:18" x14ac:dyDescent="0.25">
      <c r="A64" s="13" t="s">
        <v>77</v>
      </c>
      <c r="B64" s="15">
        <v>45405</v>
      </c>
      <c r="C64" s="16">
        <v>0.30052083333333335</v>
      </c>
      <c r="D64" s="13">
        <v>0.38385416666666666</v>
      </c>
      <c r="E64" s="13" t="s">
        <v>17</v>
      </c>
      <c r="F64" s="13" t="s">
        <v>18</v>
      </c>
      <c r="G64" s="13" t="s">
        <v>14</v>
      </c>
      <c r="H64" s="13" t="s">
        <v>13</v>
      </c>
      <c r="I64" s="13" t="s">
        <v>19</v>
      </c>
      <c r="J64" s="13" t="s">
        <v>20</v>
      </c>
      <c r="K64" s="6">
        <f t="shared" si="1"/>
        <v>119.99999999999997</v>
      </c>
      <c r="L64" s="7" t="str" cm="1">
        <f t="array" ref="L64">_xlfn.SWITCH(J64,
  "Bentong Toll Plaza", "Short (0-50km)",
  "Karak Toll Plaza", "Short (0-50km)",
  "Lanchang Toll Plaza", "Medium (50-100km)",
  "Temerloh Toll Plaza", "Medium (50-100km)",
  "Chenor Toll Plaza", "Long (100-200km)",
  "Maran Toll Plaza", "Long (100-200km)",
  "Gambang Toll Plaza", "Long (100-200km)",
  "CHECK"
)</f>
        <v>Long (100-200km)</v>
      </c>
      <c r="M64" s="7" t="str">
        <f t="shared" si="0"/>
        <v>Peak</v>
      </c>
      <c r="N64" s="7" t="str">
        <f t="shared" si="2"/>
        <v>Weekday</v>
      </c>
      <c r="O64" s="7">
        <f t="shared" si="3"/>
        <v>7</v>
      </c>
      <c r="P64" s="7" t="str">
        <f t="shared" si="4"/>
        <v>Apr</v>
      </c>
      <c r="Q64" s="6">
        <f t="shared" si="5"/>
        <v>100.00000000000003</v>
      </c>
    </row>
    <row r="65" spans="1:17" x14ac:dyDescent="0.25">
      <c r="A65" s="13" t="s">
        <v>78</v>
      </c>
      <c r="B65" s="15">
        <v>45420</v>
      </c>
      <c r="C65" s="16">
        <v>0.57326388888888891</v>
      </c>
      <c r="D65" s="13">
        <v>0.60451388888888891</v>
      </c>
      <c r="E65" s="13" t="s">
        <v>10</v>
      </c>
      <c r="F65" s="13" t="s">
        <v>11</v>
      </c>
      <c r="G65" s="13" t="s">
        <v>16</v>
      </c>
      <c r="H65" s="13" t="s">
        <v>13</v>
      </c>
      <c r="I65" s="13" t="s">
        <v>19</v>
      </c>
      <c r="J65" s="13" t="s">
        <v>24</v>
      </c>
      <c r="K65" s="6">
        <f t="shared" si="1"/>
        <v>45</v>
      </c>
      <c r="L65" s="7" t="str" cm="1">
        <f t="array" ref="L65">_xlfn.SWITCH(J65,
  "Bentong Toll Plaza", "Short (0-50km)",
  "Karak Toll Plaza", "Short (0-50km)",
  "Lanchang Toll Plaza", "Medium (50-100km)",
  "Temerloh Toll Plaza", "Medium (50-100km)",
  "Chenor Toll Plaza", "Long (100-200km)",
  "Maran Toll Plaza", "Long (100-200km)",
  "Gambang Toll Plaza", "Long (100-200km)",
  "CHECK"
)</f>
        <v>Short (0-50km)</v>
      </c>
      <c r="M65" s="7" t="str">
        <f t="shared" si="0"/>
        <v>Off-Peak</v>
      </c>
      <c r="N65" s="7" t="str">
        <f t="shared" si="2"/>
        <v>Weekday</v>
      </c>
      <c r="O65" s="7">
        <f t="shared" si="3"/>
        <v>13</v>
      </c>
      <c r="P65" s="7" t="str">
        <f t="shared" si="4"/>
        <v>May</v>
      </c>
      <c r="Q65" s="6">
        <f t="shared" si="5"/>
        <v>66.666666666666671</v>
      </c>
    </row>
    <row r="66" spans="1:17" x14ac:dyDescent="0.25">
      <c r="A66" s="13" t="s">
        <v>79</v>
      </c>
      <c r="B66" s="15">
        <v>45462</v>
      </c>
      <c r="C66" s="16">
        <v>0.43414351851851851</v>
      </c>
      <c r="D66" s="13">
        <v>0.46539351851851851</v>
      </c>
      <c r="E66" s="13" t="s">
        <v>10</v>
      </c>
      <c r="F66" s="13" t="s">
        <v>11</v>
      </c>
      <c r="G66" s="13" t="s">
        <v>14</v>
      </c>
      <c r="H66" s="13" t="s">
        <v>13</v>
      </c>
      <c r="I66" s="13" t="s">
        <v>19</v>
      </c>
      <c r="J66" s="13" t="s">
        <v>22</v>
      </c>
      <c r="K66" s="6">
        <f t="shared" si="1"/>
        <v>45</v>
      </c>
      <c r="L66" s="7" t="str" cm="1">
        <f t="array" ref="L66">_xlfn.SWITCH(J66,
  "Bentong Toll Plaza", "Short (0-50km)",
  "Karak Toll Plaza", "Short (0-50km)",
  "Lanchang Toll Plaza", "Medium (50-100km)",
  "Temerloh Toll Plaza", "Medium (50-100km)",
  "Chenor Toll Plaza", "Long (100-200km)",
  "Maran Toll Plaza", "Long (100-200km)",
  "Gambang Toll Plaza", "Long (100-200km)",
  "CHECK"
)</f>
        <v>Short (0-50km)</v>
      </c>
      <c r="M66" s="7" t="str">
        <f t="shared" ref="M66:M121" si="6">IF(OR(
    AND(MOD(C66,1)&gt;=TIME(7,0,0), MOD(C66,1)&lt;=TIME(9,0,0)),
    AND(MOD(C66,1)&gt;=TIME(17,0,0), MOD(C66,1)&lt;=TIME(19,0,0))
), "Peak", "Off-Peak")</f>
        <v>Off-Peak</v>
      </c>
      <c r="N66" s="7" t="str">
        <f t="shared" si="2"/>
        <v>Weekday</v>
      </c>
      <c r="O66" s="7">
        <f t="shared" si="3"/>
        <v>10</v>
      </c>
      <c r="P66" s="7" t="str">
        <f t="shared" si="4"/>
        <v>Jun</v>
      </c>
      <c r="Q66" s="6">
        <f t="shared" si="5"/>
        <v>66.666666666666671</v>
      </c>
    </row>
    <row r="67" spans="1:17" x14ac:dyDescent="0.25">
      <c r="A67" s="13" t="s">
        <v>80</v>
      </c>
      <c r="B67" s="15">
        <v>45501</v>
      </c>
      <c r="C67" s="16">
        <v>0.2434375</v>
      </c>
      <c r="D67" s="13">
        <v>0.32677083333333334</v>
      </c>
      <c r="E67" s="13" t="s">
        <v>15</v>
      </c>
      <c r="F67" s="13" t="s">
        <v>23</v>
      </c>
      <c r="G67" s="13" t="s">
        <v>12</v>
      </c>
      <c r="H67" s="13" t="s">
        <v>13</v>
      </c>
      <c r="I67" s="13" t="s">
        <v>19</v>
      </c>
      <c r="J67" s="13" t="s">
        <v>20</v>
      </c>
      <c r="K67" s="6">
        <f t="shared" ref="K67:K121" si="7">IF(D67&lt;C67, ((D67+1)-C67)*1440, (D67-C67)*1440)</f>
        <v>120.00000000000001</v>
      </c>
      <c r="L67" s="7" t="str" cm="1">
        <f t="array" ref="L67">_xlfn.SWITCH(J67,
  "Bentong Toll Plaza", "Short (0-50km)",
  "Karak Toll Plaza", "Short (0-50km)",
  "Lanchang Toll Plaza", "Medium (50-100km)",
  "Temerloh Toll Plaza", "Medium (50-100km)",
  "Chenor Toll Plaza", "Long (100-200km)",
  "Maran Toll Plaza", "Long (100-200km)",
  "Gambang Toll Plaza", "Long (100-200km)",
  "CHECK"
)</f>
        <v>Long (100-200km)</v>
      </c>
      <c r="M67" s="7" t="str">
        <f t="shared" si="6"/>
        <v>Off-Peak</v>
      </c>
      <c r="N67" s="7" t="str">
        <f t="shared" ref="N67:N121" si="8">IF(WEEKDAY(B67,2)&gt;=6, "Weekend", "Weekday")</f>
        <v>Weekend</v>
      </c>
      <c r="O67" s="7">
        <f t="shared" ref="O67:O121" si="9">HOUR(C67)</f>
        <v>5</v>
      </c>
      <c r="P67" s="7" t="str">
        <f t="shared" ref="P67:P121" si="10">TEXT(B67,"mmm")</f>
        <v>Jul</v>
      </c>
      <c r="Q67" s="6">
        <f t="shared" ref="Q67:Q121" si="11">IF(L67="Short (0-50km)", (50/(K67/60)),
 IF(L67="Medium (50-100km)", (100/(K67/60)),
 IF(L67="Long (100-200km)", (200/(K67/60)),
 "Invalid")))</f>
        <v>99.999999999999972</v>
      </c>
    </row>
    <row r="68" spans="1:17" x14ac:dyDescent="0.25">
      <c r="A68" s="13" t="s">
        <v>81</v>
      </c>
      <c r="B68" s="15">
        <v>45506</v>
      </c>
      <c r="C68" s="16">
        <v>0.67027777777777775</v>
      </c>
      <c r="D68" s="13">
        <v>0.75361111111111112</v>
      </c>
      <c r="E68" s="13" t="s">
        <v>17</v>
      </c>
      <c r="F68" s="13" t="s">
        <v>18</v>
      </c>
      <c r="G68" s="13" t="s">
        <v>16</v>
      </c>
      <c r="H68" s="13" t="s">
        <v>13</v>
      </c>
      <c r="I68" s="13" t="s">
        <v>19</v>
      </c>
      <c r="J68" s="13" t="s">
        <v>21</v>
      </c>
      <c r="K68" s="6">
        <f t="shared" si="7"/>
        <v>120.00000000000006</v>
      </c>
      <c r="L68" s="7" t="str" cm="1">
        <f t="array" ref="L68">_xlfn.SWITCH(J68,
  "Bentong Toll Plaza", "Short (0-50km)",
  "Karak Toll Plaza", "Short (0-50km)",
  "Lanchang Toll Plaza", "Medium (50-100km)",
  "Temerloh Toll Plaza", "Medium (50-100km)",
  "Chenor Toll Plaza", "Long (100-200km)",
  "Maran Toll Plaza", "Long (100-200km)",
  "Gambang Toll Plaza", "Long (100-200km)",
  "CHECK"
)</f>
        <v>Medium (50-100km)</v>
      </c>
      <c r="M68" s="7" t="str">
        <f t="shared" si="6"/>
        <v>Off-Peak</v>
      </c>
      <c r="N68" s="7" t="str">
        <f t="shared" si="8"/>
        <v>Weekday</v>
      </c>
      <c r="O68" s="7">
        <f t="shared" si="9"/>
        <v>16</v>
      </c>
      <c r="P68" s="7" t="str">
        <f t="shared" si="10"/>
        <v>Aug</v>
      </c>
      <c r="Q68" s="6">
        <f t="shared" si="11"/>
        <v>49.999999999999979</v>
      </c>
    </row>
    <row r="69" spans="1:17" x14ac:dyDescent="0.25">
      <c r="A69" s="13" t="s">
        <v>82</v>
      </c>
      <c r="B69" s="15">
        <v>45546</v>
      </c>
      <c r="C69" s="16">
        <v>0.35468749999999999</v>
      </c>
      <c r="D69" s="13">
        <v>0.38593749999999999</v>
      </c>
      <c r="E69" s="13" t="s">
        <v>10</v>
      </c>
      <c r="F69" s="13" t="s">
        <v>11</v>
      </c>
      <c r="G69" s="13" t="s">
        <v>14</v>
      </c>
      <c r="H69" s="13" t="s">
        <v>13</v>
      </c>
      <c r="I69" s="13" t="s">
        <v>19</v>
      </c>
      <c r="J69" s="13" t="s">
        <v>24</v>
      </c>
      <c r="K69" s="6">
        <f t="shared" si="7"/>
        <v>45</v>
      </c>
      <c r="L69" s="7" t="str" cm="1">
        <f t="array" ref="L69">_xlfn.SWITCH(J69,
  "Bentong Toll Plaza", "Short (0-50km)",
  "Karak Toll Plaza", "Short (0-50km)",
  "Lanchang Toll Plaza", "Medium (50-100km)",
  "Temerloh Toll Plaza", "Medium (50-100km)",
  "Chenor Toll Plaza", "Long (100-200km)",
  "Maran Toll Plaza", "Long (100-200km)",
  "Gambang Toll Plaza", "Long (100-200km)",
  "CHECK"
)</f>
        <v>Short (0-50km)</v>
      </c>
      <c r="M69" s="7" t="str">
        <f t="shared" si="6"/>
        <v>Peak</v>
      </c>
      <c r="N69" s="7" t="str">
        <f t="shared" si="8"/>
        <v>Weekday</v>
      </c>
      <c r="O69" s="7">
        <f t="shared" si="9"/>
        <v>8</v>
      </c>
      <c r="P69" s="7" t="str">
        <f t="shared" si="10"/>
        <v>Sep</v>
      </c>
      <c r="Q69" s="6">
        <f t="shared" si="11"/>
        <v>66.666666666666671</v>
      </c>
    </row>
    <row r="70" spans="1:17" x14ac:dyDescent="0.25">
      <c r="A70" s="13" t="s">
        <v>83</v>
      </c>
      <c r="B70" s="15">
        <v>45587</v>
      </c>
      <c r="C70" s="16">
        <v>0.59192129629629631</v>
      </c>
      <c r="D70" s="13">
        <v>0.67525462962962968</v>
      </c>
      <c r="E70" s="13" t="s">
        <v>15</v>
      </c>
      <c r="F70" s="13" t="s">
        <v>23</v>
      </c>
      <c r="G70" s="13" t="s">
        <v>12</v>
      </c>
      <c r="H70" s="13" t="s">
        <v>13</v>
      </c>
      <c r="I70" s="13" t="s">
        <v>19</v>
      </c>
      <c r="J70" s="13" t="s">
        <v>21</v>
      </c>
      <c r="K70" s="6">
        <f t="shared" si="7"/>
        <v>120.00000000000006</v>
      </c>
      <c r="L70" s="7" t="str" cm="1">
        <f t="array" ref="L70">_xlfn.SWITCH(J70,
  "Bentong Toll Plaza", "Short (0-50km)",
  "Karak Toll Plaza", "Short (0-50km)",
  "Lanchang Toll Plaza", "Medium (50-100km)",
  "Temerloh Toll Plaza", "Medium (50-100km)",
  "Chenor Toll Plaza", "Long (100-200km)",
  "Maran Toll Plaza", "Long (100-200km)",
  "Gambang Toll Plaza", "Long (100-200km)",
  "CHECK"
)</f>
        <v>Medium (50-100km)</v>
      </c>
      <c r="M70" s="7" t="str">
        <f t="shared" si="6"/>
        <v>Off-Peak</v>
      </c>
      <c r="N70" s="7" t="str">
        <f t="shared" si="8"/>
        <v>Weekday</v>
      </c>
      <c r="O70" s="7">
        <f t="shared" si="9"/>
        <v>14</v>
      </c>
      <c r="P70" s="7" t="str">
        <f t="shared" si="10"/>
        <v>Oct</v>
      </c>
      <c r="Q70" s="6">
        <f t="shared" si="11"/>
        <v>49.999999999999979</v>
      </c>
    </row>
    <row r="71" spans="1:17" x14ac:dyDescent="0.25">
      <c r="A71" s="13" t="s">
        <v>84</v>
      </c>
      <c r="B71" s="15">
        <v>45626</v>
      </c>
      <c r="C71" s="16">
        <v>0.25405092592592593</v>
      </c>
      <c r="D71" s="13">
        <v>0.28530092592592593</v>
      </c>
      <c r="E71" s="13" t="s">
        <v>10</v>
      </c>
      <c r="F71" s="13" t="s">
        <v>11</v>
      </c>
      <c r="G71" s="13" t="s">
        <v>16</v>
      </c>
      <c r="H71" s="13" t="s">
        <v>13</v>
      </c>
      <c r="I71" s="13" t="s">
        <v>19</v>
      </c>
      <c r="J71" s="13" t="s">
        <v>22</v>
      </c>
      <c r="K71" s="6">
        <f t="shared" si="7"/>
        <v>45</v>
      </c>
      <c r="L71" s="7" t="str" cm="1">
        <f t="array" ref="L71">_xlfn.SWITCH(J71,
  "Bentong Toll Plaza", "Short (0-50km)",
  "Karak Toll Plaza", "Short (0-50km)",
  "Lanchang Toll Plaza", "Medium (50-100km)",
  "Temerloh Toll Plaza", "Medium (50-100km)",
  "Chenor Toll Plaza", "Long (100-200km)",
  "Maran Toll Plaza", "Long (100-200km)",
  "Gambang Toll Plaza", "Long (100-200km)",
  "CHECK"
)</f>
        <v>Short (0-50km)</v>
      </c>
      <c r="M71" s="7" t="str">
        <f t="shared" si="6"/>
        <v>Off-Peak</v>
      </c>
      <c r="N71" s="7" t="str">
        <f t="shared" si="8"/>
        <v>Weekend</v>
      </c>
      <c r="O71" s="7">
        <f t="shared" si="9"/>
        <v>6</v>
      </c>
      <c r="P71" s="7" t="str">
        <f t="shared" si="10"/>
        <v>Nov</v>
      </c>
      <c r="Q71" s="6">
        <f t="shared" si="11"/>
        <v>66.666666666666671</v>
      </c>
    </row>
    <row r="72" spans="1:17" x14ac:dyDescent="0.25">
      <c r="A72" s="13" t="s">
        <v>85</v>
      </c>
      <c r="B72" s="15">
        <v>45641</v>
      </c>
      <c r="C72" s="16">
        <v>0.40289351851851851</v>
      </c>
      <c r="D72" s="13">
        <v>0.48622685185185183</v>
      </c>
      <c r="E72" s="13" t="s">
        <v>17</v>
      </c>
      <c r="F72" s="13" t="s">
        <v>18</v>
      </c>
      <c r="G72" s="13" t="s">
        <v>14</v>
      </c>
      <c r="H72" s="13" t="s">
        <v>13</v>
      </c>
      <c r="I72" s="13" t="s">
        <v>19</v>
      </c>
      <c r="J72" s="13" t="s">
        <v>20</v>
      </c>
      <c r="K72" s="6">
        <f t="shared" si="7"/>
        <v>119.99999999999997</v>
      </c>
      <c r="L72" s="7" t="str" cm="1">
        <f t="array" ref="L72">_xlfn.SWITCH(J72,
  "Bentong Toll Plaza", "Short (0-50km)",
  "Karak Toll Plaza", "Short (0-50km)",
  "Lanchang Toll Plaza", "Medium (50-100km)",
  "Temerloh Toll Plaza", "Medium (50-100km)",
  "Chenor Toll Plaza", "Long (100-200km)",
  "Maran Toll Plaza", "Long (100-200km)",
  "Gambang Toll Plaza", "Long (100-200km)",
  "CHECK"
)</f>
        <v>Long (100-200km)</v>
      </c>
      <c r="M72" s="7" t="str">
        <f t="shared" si="6"/>
        <v>Off-Peak</v>
      </c>
      <c r="N72" s="7" t="str">
        <f t="shared" si="8"/>
        <v>Weekend</v>
      </c>
      <c r="O72" s="7">
        <f t="shared" si="9"/>
        <v>9</v>
      </c>
      <c r="P72" s="7" t="str">
        <f t="shared" si="10"/>
        <v>Dec</v>
      </c>
      <c r="Q72" s="6">
        <f t="shared" si="11"/>
        <v>100.00000000000003</v>
      </c>
    </row>
    <row r="73" spans="1:17" x14ac:dyDescent="0.25">
      <c r="A73" s="13" t="s">
        <v>86</v>
      </c>
      <c r="B73" s="15">
        <v>45312</v>
      </c>
      <c r="C73" s="16">
        <v>0.21900462962962963</v>
      </c>
      <c r="D73" s="13">
        <v>0.24678240740740739</v>
      </c>
      <c r="E73" s="13" t="s">
        <v>10</v>
      </c>
      <c r="F73" s="13" t="s">
        <v>11</v>
      </c>
      <c r="G73" s="13" t="s">
        <v>16</v>
      </c>
      <c r="H73" s="13" t="s">
        <v>13</v>
      </c>
      <c r="I73" s="13" t="s">
        <v>19</v>
      </c>
      <c r="J73" s="13" t="s">
        <v>24</v>
      </c>
      <c r="K73" s="6">
        <f t="shared" si="7"/>
        <v>39.999999999999979</v>
      </c>
      <c r="L73" s="7" t="str" cm="1">
        <f t="array" ref="L73">_xlfn.SWITCH(J73,
  "Bentong Toll Plaza", "Short (0-50km)",
  "Karak Toll Plaza", "Short (0-50km)",
  "Lanchang Toll Plaza", "Medium (50-100km)",
  "Temerloh Toll Plaza", "Medium (50-100km)",
  "Chenor Toll Plaza", "Long (100-200km)",
  "Maran Toll Plaza", "Long (100-200km)",
  "Gambang Toll Plaza", "Long (100-200km)",
  "CHECK"
)</f>
        <v>Short (0-50km)</v>
      </c>
      <c r="M73" s="7" t="str">
        <f t="shared" si="6"/>
        <v>Off-Peak</v>
      </c>
      <c r="N73" s="7" t="str">
        <f t="shared" si="8"/>
        <v>Weekend</v>
      </c>
      <c r="O73" s="7">
        <f t="shared" si="9"/>
        <v>5</v>
      </c>
      <c r="P73" s="7" t="str">
        <f t="shared" si="10"/>
        <v>Jan</v>
      </c>
      <c r="Q73" s="6">
        <f t="shared" si="11"/>
        <v>75.000000000000043</v>
      </c>
    </row>
    <row r="74" spans="1:17" x14ac:dyDescent="0.25">
      <c r="A74" s="13" t="s">
        <v>87</v>
      </c>
      <c r="B74" s="15">
        <v>45325</v>
      </c>
      <c r="C74" s="16">
        <v>0.71704861111111107</v>
      </c>
      <c r="D74" s="13">
        <v>0.80038194444444444</v>
      </c>
      <c r="E74" s="13" t="s">
        <v>15</v>
      </c>
      <c r="F74" s="13" t="s">
        <v>23</v>
      </c>
      <c r="G74" s="13" t="s">
        <v>12</v>
      </c>
      <c r="H74" s="13" t="s">
        <v>13</v>
      </c>
      <c r="I74" s="13" t="s">
        <v>19</v>
      </c>
      <c r="J74" s="13" t="s">
        <v>21</v>
      </c>
      <c r="K74" s="6">
        <f t="shared" si="7"/>
        <v>120.00000000000006</v>
      </c>
      <c r="L74" s="7" t="str" cm="1">
        <f t="array" ref="L74">_xlfn.SWITCH(J74,
  "Bentong Toll Plaza", "Short (0-50km)",
  "Karak Toll Plaza", "Short (0-50km)",
  "Lanchang Toll Plaza", "Medium (50-100km)",
  "Temerloh Toll Plaza", "Medium (50-100km)",
  "Chenor Toll Plaza", "Long (100-200km)",
  "Maran Toll Plaza", "Long (100-200km)",
  "Gambang Toll Plaza", "Long (100-200km)",
  "CHECK"
)</f>
        <v>Medium (50-100km)</v>
      </c>
      <c r="M74" s="7" t="str">
        <f t="shared" si="6"/>
        <v>Peak</v>
      </c>
      <c r="N74" s="7" t="str">
        <f t="shared" si="8"/>
        <v>Weekend</v>
      </c>
      <c r="O74" s="7">
        <f t="shared" si="9"/>
        <v>17</v>
      </c>
      <c r="P74" s="7" t="str">
        <f t="shared" si="10"/>
        <v>Feb</v>
      </c>
      <c r="Q74" s="6">
        <f t="shared" si="11"/>
        <v>49.999999999999979</v>
      </c>
    </row>
    <row r="75" spans="1:17" x14ac:dyDescent="0.25">
      <c r="A75" s="13" t="s">
        <v>88</v>
      </c>
      <c r="B75" s="15">
        <v>45365</v>
      </c>
      <c r="C75" s="16">
        <v>0.50364583333333335</v>
      </c>
      <c r="D75" s="13">
        <v>0.53489583333333335</v>
      </c>
      <c r="E75" s="13" t="s">
        <v>10</v>
      </c>
      <c r="F75" s="13" t="s">
        <v>11</v>
      </c>
      <c r="G75" s="13" t="s">
        <v>14</v>
      </c>
      <c r="H75" s="13" t="s">
        <v>13</v>
      </c>
      <c r="I75" s="13" t="s">
        <v>19</v>
      </c>
      <c r="J75" s="13" t="s">
        <v>22</v>
      </c>
      <c r="K75" s="6">
        <f t="shared" si="7"/>
        <v>45</v>
      </c>
      <c r="L75" s="7" t="str" cm="1">
        <f t="array" ref="L75">_xlfn.SWITCH(J75,
  "Bentong Toll Plaza", "Short (0-50km)",
  "Karak Toll Plaza", "Short (0-50km)",
  "Lanchang Toll Plaza", "Medium (50-100km)",
  "Temerloh Toll Plaza", "Medium (50-100km)",
  "Chenor Toll Plaza", "Long (100-200km)",
  "Maran Toll Plaza", "Long (100-200km)",
  "Gambang Toll Plaza", "Long (100-200km)",
  "CHECK"
)</f>
        <v>Short (0-50km)</v>
      </c>
      <c r="M75" s="7" t="str">
        <f t="shared" si="6"/>
        <v>Off-Peak</v>
      </c>
      <c r="N75" s="7" t="str">
        <f t="shared" si="8"/>
        <v>Weekday</v>
      </c>
      <c r="O75" s="7">
        <f t="shared" si="9"/>
        <v>12</v>
      </c>
      <c r="P75" s="7" t="str">
        <f t="shared" si="10"/>
        <v>Mar</v>
      </c>
      <c r="Q75" s="6">
        <f t="shared" si="11"/>
        <v>66.666666666666671</v>
      </c>
    </row>
    <row r="76" spans="1:17" x14ac:dyDescent="0.25">
      <c r="A76" s="13" t="s">
        <v>89</v>
      </c>
      <c r="B76" s="15">
        <v>45404</v>
      </c>
      <c r="C76" s="16">
        <v>0.29527777777777775</v>
      </c>
      <c r="D76" s="13">
        <v>0.37861111111111112</v>
      </c>
      <c r="E76" s="13" t="s">
        <v>17</v>
      </c>
      <c r="F76" s="13" t="s">
        <v>18</v>
      </c>
      <c r="G76" s="13" t="s">
        <v>16</v>
      </c>
      <c r="H76" s="13" t="s">
        <v>13</v>
      </c>
      <c r="I76" s="13" t="s">
        <v>19</v>
      </c>
      <c r="J76" s="13" t="s">
        <v>20</v>
      </c>
      <c r="K76" s="6">
        <f t="shared" si="7"/>
        <v>120.00000000000006</v>
      </c>
      <c r="L76" s="7" t="str" cm="1">
        <f t="array" ref="L76">_xlfn.SWITCH(J76,
  "Bentong Toll Plaza", "Short (0-50km)",
  "Karak Toll Plaza", "Short (0-50km)",
  "Lanchang Toll Plaza", "Medium (50-100km)",
  "Temerloh Toll Plaza", "Medium (50-100km)",
  "Chenor Toll Plaza", "Long (100-200km)",
  "Maran Toll Plaza", "Long (100-200km)",
  "Gambang Toll Plaza", "Long (100-200km)",
  "CHECK"
)</f>
        <v>Long (100-200km)</v>
      </c>
      <c r="M76" s="7" t="str">
        <f t="shared" si="6"/>
        <v>Peak</v>
      </c>
      <c r="N76" s="7" t="str">
        <f t="shared" si="8"/>
        <v>Weekday</v>
      </c>
      <c r="O76" s="7">
        <f t="shared" si="9"/>
        <v>7</v>
      </c>
      <c r="P76" s="7" t="str">
        <f t="shared" si="10"/>
        <v>Apr</v>
      </c>
      <c r="Q76" s="6">
        <f t="shared" si="11"/>
        <v>99.999999999999957</v>
      </c>
    </row>
    <row r="77" spans="1:17" x14ac:dyDescent="0.25">
      <c r="A77" s="13" t="s">
        <v>90</v>
      </c>
      <c r="B77" s="15">
        <v>45421</v>
      </c>
      <c r="C77" s="16">
        <v>0.4306712962962963</v>
      </c>
      <c r="D77" s="13">
        <v>0.4619212962962963</v>
      </c>
      <c r="E77" s="13" t="s">
        <v>10</v>
      </c>
      <c r="F77" s="13" t="s">
        <v>11</v>
      </c>
      <c r="G77" s="13" t="s">
        <v>14</v>
      </c>
      <c r="H77" s="13" t="s">
        <v>13</v>
      </c>
      <c r="I77" s="13" t="s">
        <v>19</v>
      </c>
      <c r="J77" s="13" t="s">
        <v>24</v>
      </c>
      <c r="K77" s="6">
        <f t="shared" si="7"/>
        <v>45</v>
      </c>
      <c r="L77" s="7" t="str" cm="1">
        <f t="array" ref="L77">_xlfn.SWITCH(J77,
  "Bentong Toll Plaza", "Short (0-50km)",
  "Karak Toll Plaza", "Short (0-50km)",
  "Lanchang Toll Plaza", "Medium (50-100km)",
  "Temerloh Toll Plaza", "Medium (50-100km)",
  "Chenor Toll Plaza", "Long (100-200km)",
  "Maran Toll Plaza", "Long (100-200km)",
  "Gambang Toll Plaza", "Long (100-200km)",
  "CHECK"
)</f>
        <v>Short (0-50km)</v>
      </c>
      <c r="M77" s="7" t="str">
        <f t="shared" si="6"/>
        <v>Off-Peak</v>
      </c>
      <c r="N77" s="7" t="str">
        <f t="shared" si="8"/>
        <v>Weekday</v>
      </c>
      <c r="O77" s="7">
        <f t="shared" si="9"/>
        <v>10</v>
      </c>
      <c r="P77" s="7" t="str">
        <f t="shared" si="10"/>
        <v>May</v>
      </c>
      <c r="Q77" s="6">
        <f t="shared" si="11"/>
        <v>66.666666666666671</v>
      </c>
    </row>
    <row r="78" spans="1:17" x14ac:dyDescent="0.25">
      <c r="A78" s="13" t="s">
        <v>91</v>
      </c>
      <c r="B78" s="15">
        <v>45461</v>
      </c>
      <c r="C78" s="16">
        <v>0.36843749999999997</v>
      </c>
      <c r="D78" s="13">
        <v>0.45177083333333334</v>
      </c>
      <c r="E78" s="13" t="s">
        <v>15</v>
      </c>
      <c r="F78" s="13" t="s">
        <v>23</v>
      </c>
      <c r="G78" s="13" t="s">
        <v>12</v>
      </c>
      <c r="H78" s="13" t="s">
        <v>13</v>
      </c>
      <c r="I78" s="13" t="s">
        <v>19</v>
      </c>
      <c r="J78" s="13" t="s">
        <v>21</v>
      </c>
      <c r="K78" s="6">
        <f t="shared" si="7"/>
        <v>120.00000000000006</v>
      </c>
      <c r="L78" s="7" t="str" cm="1">
        <f t="array" ref="L78">_xlfn.SWITCH(J78,
  "Bentong Toll Plaza", "Short (0-50km)",
  "Karak Toll Plaza", "Short (0-50km)",
  "Lanchang Toll Plaza", "Medium (50-100km)",
  "Temerloh Toll Plaza", "Medium (50-100km)",
  "Chenor Toll Plaza", "Long (100-200km)",
  "Maran Toll Plaza", "Long (100-200km)",
  "Gambang Toll Plaza", "Long (100-200km)",
  "CHECK"
)</f>
        <v>Medium (50-100km)</v>
      </c>
      <c r="M78" s="7" t="str">
        <f t="shared" si="6"/>
        <v>Peak</v>
      </c>
      <c r="N78" s="7" t="str">
        <f t="shared" si="8"/>
        <v>Weekday</v>
      </c>
      <c r="O78" s="7">
        <f t="shared" si="9"/>
        <v>8</v>
      </c>
      <c r="P78" s="7" t="str">
        <f t="shared" si="10"/>
        <v>Jun</v>
      </c>
      <c r="Q78" s="6">
        <f t="shared" si="11"/>
        <v>49.999999999999979</v>
      </c>
    </row>
    <row r="79" spans="1:17" x14ac:dyDescent="0.25">
      <c r="A79" s="13" t="s">
        <v>92</v>
      </c>
      <c r="B79" s="15">
        <v>45499</v>
      </c>
      <c r="C79" s="16">
        <v>0.64597222222222217</v>
      </c>
      <c r="D79" s="13">
        <v>0.72930555555555554</v>
      </c>
      <c r="E79" s="13" t="s">
        <v>17</v>
      </c>
      <c r="F79" s="13" t="s">
        <v>18</v>
      </c>
      <c r="G79" s="13" t="s">
        <v>16</v>
      </c>
      <c r="H79" s="13" t="s">
        <v>13</v>
      </c>
      <c r="I79" s="13" t="s">
        <v>19</v>
      </c>
      <c r="J79" s="13" t="s">
        <v>20</v>
      </c>
      <c r="K79" s="6">
        <f t="shared" si="7"/>
        <v>120.00000000000006</v>
      </c>
      <c r="L79" s="7" t="str" cm="1">
        <f t="array" ref="L79">_xlfn.SWITCH(J79,
  "Bentong Toll Plaza", "Short (0-50km)",
  "Karak Toll Plaza", "Short (0-50km)",
  "Lanchang Toll Plaza", "Medium (50-100km)",
  "Temerloh Toll Plaza", "Medium (50-100km)",
  "Chenor Toll Plaza", "Long (100-200km)",
  "Maran Toll Plaza", "Long (100-200km)",
  "Gambang Toll Plaza", "Long (100-200km)",
  "CHECK"
)</f>
        <v>Long (100-200km)</v>
      </c>
      <c r="M79" s="7" t="str">
        <f t="shared" si="6"/>
        <v>Off-Peak</v>
      </c>
      <c r="N79" s="7" t="str">
        <f t="shared" si="8"/>
        <v>Weekday</v>
      </c>
      <c r="O79" s="7">
        <f t="shared" si="9"/>
        <v>15</v>
      </c>
      <c r="P79" s="7" t="str">
        <f t="shared" si="10"/>
        <v>Jul</v>
      </c>
      <c r="Q79" s="6">
        <f t="shared" si="11"/>
        <v>99.999999999999957</v>
      </c>
    </row>
    <row r="80" spans="1:17" x14ac:dyDescent="0.25">
      <c r="A80" s="13" t="s">
        <v>93</v>
      </c>
      <c r="B80" s="15">
        <v>45507</v>
      </c>
      <c r="C80" s="16">
        <v>0.25885416666666666</v>
      </c>
      <c r="D80" s="13">
        <v>0.28663194444444445</v>
      </c>
      <c r="E80" s="13" t="s">
        <v>10</v>
      </c>
      <c r="F80" s="13" t="s">
        <v>11</v>
      </c>
      <c r="G80" s="13" t="s">
        <v>14</v>
      </c>
      <c r="H80" s="13" t="s">
        <v>13</v>
      </c>
      <c r="I80" s="13" t="s">
        <v>19</v>
      </c>
      <c r="J80" s="13" t="s">
        <v>22</v>
      </c>
      <c r="K80" s="6">
        <f t="shared" si="7"/>
        <v>40.000000000000014</v>
      </c>
      <c r="L80" s="7" t="str" cm="1">
        <f t="array" ref="L80">_xlfn.SWITCH(J80,
  "Bentong Toll Plaza", "Short (0-50km)",
  "Karak Toll Plaza", "Short (0-50km)",
  "Lanchang Toll Plaza", "Medium (50-100km)",
  "Temerloh Toll Plaza", "Medium (50-100km)",
  "Chenor Toll Plaza", "Long (100-200km)",
  "Maran Toll Plaza", "Long (100-200km)",
  "Gambang Toll Plaza", "Long (100-200km)",
  "CHECK"
)</f>
        <v>Short (0-50km)</v>
      </c>
      <c r="M80" s="7" t="str">
        <f t="shared" si="6"/>
        <v>Off-Peak</v>
      </c>
      <c r="N80" s="7" t="str">
        <f t="shared" si="8"/>
        <v>Weekend</v>
      </c>
      <c r="O80" s="7">
        <f t="shared" si="9"/>
        <v>6</v>
      </c>
      <c r="P80" s="7" t="str">
        <f t="shared" si="10"/>
        <v>Aug</v>
      </c>
      <c r="Q80" s="6">
        <f t="shared" si="11"/>
        <v>74.999999999999986</v>
      </c>
    </row>
    <row r="81" spans="1:17" x14ac:dyDescent="0.25">
      <c r="A81" s="13" t="s">
        <v>94</v>
      </c>
      <c r="B81" s="15">
        <v>45547</v>
      </c>
      <c r="C81" s="16">
        <v>0.57317129629629626</v>
      </c>
      <c r="D81" s="13">
        <v>0.65650462962962963</v>
      </c>
      <c r="E81" s="13" t="s">
        <v>15</v>
      </c>
      <c r="F81" s="13" t="s">
        <v>23</v>
      </c>
      <c r="G81" s="13" t="s">
        <v>12</v>
      </c>
      <c r="H81" s="13" t="s">
        <v>13</v>
      </c>
      <c r="I81" s="13" t="s">
        <v>19</v>
      </c>
      <c r="J81" s="13" t="s">
        <v>21</v>
      </c>
      <c r="K81" s="6">
        <f t="shared" si="7"/>
        <v>120.00000000000006</v>
      </c>
      <c r="L81" s="7" t="str" cm="1">
        <f t="array" ref="L81">_xlfn.SWITCH(J81,
  "Bentong Toll Plaza", "Short (0-50km)",
  "Karak Toll Plaza", "Short (0-50km)",
  "Lanchang Toll Plaza", "Medium (50-100km)",
  "Temerloh Toll Plaza", "Medium (50-100km)",
  "Chenor Toll Plaza", "Long (100-200km)",
  "Maran Toll Plaza", "Long (100-200km)",
  "Gambang Toll Plaza", "Long (100-200km)",
  "CHECK"
)</f>
        <v>Medium (50-100km)</v>
      </c>
      <c r="M81" s="7" t="str">
        <f t="shared" si="6"/>
        <v>Off-Peak</v>
      </c>
      <c r="N81" s="7" t="str">
        <f t="shared" si="8"/>
        <v>Weekday</v>
      </c>
      <c r="O81" s="7">
        <f t="shared" si="9"/>
        <v>13</v>
      </c>
      <c r="P81" s="7" t="str">
        <f t="shared" si="10"/>
        <v>Sep</v>
      </c>
      <c r="Q81" s="6">
        <f t="shared" si="11"/>
        <v>49.999999999999979</v>
      </c>
    </row>
    <row r="82" spans="1:17" x14ac:dyDescent="0.25">
      <c r="A82" s="13" t="s">
        <v>95</v>
      </c>
      <c r="B82" s="15">
        <v>45592</v>
      </c>
      <c r="C82" s="16">
        <v>0.29525462962962962</v>
      </c>
      <c r="D82" s="13">
        <v>0.32650462962962962</v>
      </c>
      <c r="E82" s="13" t="s">
        <v>10</v>
      </c>
      <c r="F82" s="13" t="s">
        <v>11</v>
      </c>
      <c r="G82" s="13" t="s">
        <v>16</v>
      </c>
      <c r="H82" s="13" t="s">
        <v>13</v>
      </c>
      <c r="I82" s="13" t="s">
        <v>19</v>
      </c>
      <c r="J82" s="13" t="s">
        <v>24</v>
      </c>
      <c r="K82" s="6">
        <f t="shared" si="7"/>
        <v>45</v>
      </c>
      <c r="L82" s="7" t="str" cm="1">
        <f t="array" ref="L82">_xlfn.SWITCH(J82,
  "Bentong Toll Plaza", "Short (0-50km)",
  "Karak Toll Plaza", "Short (0-50km)",
  "Lanchang Toll Plaza", "Medium (50-100km)",
  "Temerloh Toll Plaza", "Medium (50-100km)",
  "Chenor Toll Plaza", "Long (100-200km)",
  "Maran Toll Plaza", "Long (100-200km)",
  "Gambang Toll Plaza", "Long (100-200km)",
  "CHECK"
)</f>
        <v>Short (0-50km)</v>
      </c>
      <c r="M82" s="7" t="str">
        <f t="shared" si="6"/>
        <v>Peak</v>
      </c>
      <c r="N82" s="7" t="str">
        <f t="shared" si="8"/>
        <v>Weekend</v>
      </c>
      <c r="O82" s="7">
        <f t="shared" si="9"/>
        <v>7</v>
      </c>
      <c r="P82" s="7" t="str">
        <f t="shared" si="10"/>
        <v>Oct</v>
      </c>
      <c r="Q82" s="6">
        <f t="shared" si="11"/>
        <v>66.666666666666671</v>
      </c>
    </row>
    <row r="83" spans="1:17" x14ac:dyDescent="0.25">
      <c r="A83" s="13" t="s">
        <v>96</v>
      </c>
      <c r="B83" s="15">
        <v>45601</v>
      </c>
      <c r="C83" s="16">
        <v>0.38927083333333334</v>
      </c>
      <c r="D83" s="13">
        <v>0.47260416666666666</v>
      </c>
      <c r="E83" s="13" t="s">
        <v>17</v>
      </c>
      <c r="F83" s="13" t="s">
        <v>18</v>
      </c>
      <c r="G83" s="13" t="s">
        <v>14</v>
      </c>
      <c r="H83" s="13" t="s">
        <v>13</v>
      </c>
      <c r="I83" s="13" t="s">
        <v>19</v>
      </c>
      <c r="J83" s="13" t="s">
        <v>20</v>
      </c>
      <c r="K83" s="6">
        <f t="shared" si="7"/>
        <v>119.99999999999997</v>
      </c>
      <c r="L83" s="7" t="str" cm="1">
        <f t="array" ref="L83">_xlfn.SWITCH(J83,
  "Bentong Toll Plaza", "Short (0-50km)",
  "Karak Toll Plaza", "Short (0-50km)",
  "Lanchang Toll Plaza", "Medium (50-100km)",
  "Temerloh Toll Plaza", "Medium (50-100km)",
  "Chenor Toll Plaza", "Long (100-200km)",
  "Maran Toll Plaza", "Long (100-200km)",
  "Gambang Toll Plaza", "Long (100-200km)",
  "CHECK"
)</f>
        <v>Long (100-200km)</v>
      </c>
      <c r="M83" s="7" t="str">
        <f t="shared" si="6"/>
        <v>Off-Peak</v>
      </c>
      <c r="N83" s="7" t="str">
        <f t="shared" si="8"/>
        <v>Weekday</v>
      </c>
      <c r="O83" s="7">
        <f t="shared" si="9"/>
        <v>9</v>
      </c>
      <c r="P83" s="7" t="str">
        <f t="shared" si="10"/>
        <v>Nov</v>
      </c>
      <c r="Q83" s="6">
        <f t="shared" si="11"/>
        <v>100.00000000000003</v>
      </c>
    </row>
    <row r="84" spans="1:17" x14ac:dyDescent="0.25">
      <c r="A84" s="13" t="s">
        <v>97</v>
      </c>
      <c r="B84" s="15">
        <v>45642</v>
      </c>
      <c r="C84" s="16">
        <v>0.24666666666666667</v>
      </c>
      <c r="D84" s="13">
        <v>0.27791666666666665</v>
      </c>
      <c r="E84" s="13" t="s">
        <v>10</v>
      </c>
      <c r="F84" s="13" t="s">
        <v>11</v>
      </c>
      <c r="G84" s="13" t="s">
        <v>14</v>
      </c>
      <c r="H84" s="13" t="s">
        <v>13</v>
      </c>
      <c r="I84" s="13" t="s">
        <v>19</v>
      </c>
      <c r="J84" s="13" t="s">
        <v>22</v>
      </c>
      <c r="K84" s="6">
        <f t="shared" si="7"/>
        <v>44.999999999999957</v>
      </c>
      <c r="L84" s="7" t="str" cm="1">
        <f t="array" ref="L84">_xlfn.SWITCH(J84,
  "Bentong Toll Plaza", "Short (0-50km)",
  "Karak Toll Plaza", "Short (0-50km)",
  "Lanchang Toll Plaza", "Medium (50-100km)",
  "Temerloh Toll Plaza", "Medium (50-100km)",
  "Chenor Toll Plaza", "Long (100-200km)",
  "Maran Toll Plaza", "Long (100-200km)",
  "Gambang Toll Plaza", "Long (100-200km)",
  "CHECK"
)</f>
        <v>Short (0-50km)</v>
      </c>
      <c r="M84" s="7" t="str">
        <f t="shared" si="6"/>
        <v>Off-Peak</v>
      </c>
      <c r="N84" s="7" t="str">
        <f t="shared" si="8"/>
        <v>Weekday</v>
      </c>
      <c r="O84" s="7">
        <f t="shared" si="9"/>
        <v>5</v>
      </c>
      <c r="P84" s="7" t="str">
        <f t="shared" si="10"/>
        <v>Dec</v>
      </c>
      <c r="Q84" s="6">
        <f t="shared" si="11"/>
        <v>66.666666666666728</v>
      </c>
    </row>
    <row r="85" spans="1:17" x14ac:dyDescent="0.25">
      <c r="A85" s="13" t="s">
        <v>98</v>
      </c>
      <c r="B85" s="15">
        <v>45319</v>
      </c>
      <c r="C85" s="16">
        <v>0.75885416666666672</v>
      </c>
      <c r="D85" s="13">
        <v>0.84218749999999998</v>
      </c>
      <c r="E85" s="13" t="s">
        <v>15</v>
      </c>
      <c r="F85" s="13" t="s">
        <v>23</v>
      </c>
      <c r="G85" s="13" t="s">
        <v>12</v>
      </c>
      <c r="H85" s="13" t="s">
        <v>13</v>
      </c>
      <c r="I85" s="13" t="s">
        <v>19</v>
      </c>
      <c r="J85" s="13" t="s">
        <v>21</v>
      </c>
      <c r="K85" s="6">
        <f t="shared" si="7"/>
        <v>119.99999999999989</v>
      </c>
      <c r="L85" s="7" t="str" cm="1">
        <f t="array" ref="L85">_xlfn.SWITCH(J85,
  "Bentong Toll Plaza", "Short (0-50km)",
  "Karak Toll Plaza", "Short (0-50km)",
  "Lanchang Toll Plaza", "Medium (50-100km)",
  "Temerloh Toll Plaza", "Medium (50-100km)",
  "Chenor Toll Plaza", "Long (100-200km)",
  "Maran Toll Plaza", "Long (100-200km)",
  "Gambang Toll Plaza", "Long (100-200km)",
  "CHECK"
)</f>
        <v>Medium (50-100km)</v>
      </c>
      <c r="M85" s="7" t="str">
        <f t="shared" si="6"/>
        <v>Peak</v>
      </c>
      <c r="N85" s="7" t="str">
        <f t="shared" si="8"/>
        <v>Weekend</v>
      </c>
      <c r="O85" s="7">
        <f t="shared" si="9"/>
        <v>18</v>
      </c>
      <c r="P85" s="7" t="str">
        <f t="shared" si="10"/>
        <v>Jan</v>
      </c>
      <c r="Q85" s="6">
        <f t="shared" si="11"/>
        <v>50.00000000000005</v>
      </c>
    </row>
    <row r="86" spans="1:17" x14ac:dyDescent="0.25">
      <c r="A86" s="13" t="s">
        <v>99</v>
      </c>
      <c r="B86" s="15">
        <v>45326</v>
      </c>
      <c r="C86" s="16">
        <v>0.52121527777777776</v>
      </c>
      <c r="D86" s="13">
        <v>0.55246527777777776</v>
      </c>
      <c r="E86" s="13" t="s">
        <v>10</v>
      </c>
      <c r="F86" s="13" t="s">
        <v>11</v>
      </c>
      <c r="G86" s="13" t="s">
        <v>16</v>
      </c>
      <c r="H86" s="13" t="s">
        <v>13</v>
      </c>
      <c r="I86" s="13" t="s">
        <v>19</v>
      </c>
      <c r="J86" s="13" t="s">
        <v>24</v>
      </c>
      <c r="K86" s="6">
        <f t="shared" si="7"/>
        <v>45</v>
      </c>
      <c r="L86" s="7" t="str" cm="1">
        <f t="array" ref="L86">_xlfn.SWITCH(J86,
  "Bentong Toll Plaza", "Short (0-50km)",
  "Karak Toll Plaza", "Short (0-50km)",
  "Lanchang Toll Plaza", "Medium (50-100km)",
  "Temerloh Toll Plaza", "Medium (50-100km)",
  "Chenor Toll Plaza", "Long (100-200km)",
  "Maran Toll Plaza", "Long (100-200km)",
  "Gambang Toll Plaza", "Long (100-200km)",
  "CHECK"
)</f>
        <v>Short (0-50km)</v>
      </c>
      <c r="M86" s="7" t="str">
        <f t="shared" si="6"/>
        <v>Off-Peak</v>
      </c>
      <c r="N86" s="7" t="str">
        <f t="shared" si="8"/>
        <v>Weekend</v>
      </c>
      <c r="O86" s="7">
        <f t="shared" si="9"/>
        <v>12</v>
      </c>
      <c r="P86" s="7" t="str">
        <f t="shared" si="10"/>
        <v>Feb</v>
      </c>
      <c r="Q86" s="6">
        <f t="shared" si="11"/>
        <v>66.666666666666671</v>
      </c>
    </row>
    <row r="87" spans="1:17" x14ac:dyDescent="0.25">
      <c r="A87" s="13" t="s">
        <v>100</v>
      </c>
      <c r="B87" s="15">
        <v>45368</v>
      </c>
      <c r="C87" s="16">
        <v>0.28136574074074072</v>
      </c>
      <c r="D87" s="13">
        <v>0.36469907407407409</v>
      </c>
      <c r="E87" s="13" t="s">
        <v>17</v>
      </c>
      <c r="F87" s="13" t="s">
        <v>18</v>
      </c>
      <c r="G87" s="13" t="s">
        <v>16</v>
      </c>
      <c r="H87" s="13" t="s">
        <v>13</v>
      </c>
      <c r="I87" s="13" t="s">
        <v>19</v>
      </c>
      <c r="J87" s="13" t="s">
        <v>20</v>
      </c>
      <c r="K87" s="6">
        <f t="shared" si="7"/>
        <v>120.00000000000006</v>
      </c>
      <c r="L87" s="7" t="str" cm="1">
        <f t="array" ref="L87">_xlfn.SWITCH(J87,
  "Bentong Toll Plaza", "Short (0-50km)",
  "Karak Toll Plaza", "Short (0-50km)",
  "Lanchang Toll Plaza", "Medium (50-100km)",
  "Temerloh Toll Plaza", "Medium (50-100km)",
  "Chenor Toll Plaza", "Long (100-200km)",
  "Maran Toll Plaza", "Long (100-200km)",
  "Gambang Toll Plaza", "Long (100-200km)",
  "CHECK"
)</f>
        <v>Long (100-200km)</v>
      </c>
      <c r="M87" s="7" t="str">
        <f t="shared" si="6"/>
        <v>Off-Peak</v>
      </c>
      <c r="N87" s="7" t="str">
        <f t="shared" si="8"/>
        <v>Weekend</v>
      </c>
      <c r="O87" s="7">
        <f t="shared" si="9"/>
        <v>6</v>
      </c>
      <c r="P87" s="7" t="str">
        <f t="shared" si="10"/>
        <v>Mar</v>
      </c>
      <c r="Q87" s="6">
        <f t="shared" si="11"/>
        <v>99.999999999999957</v>
      </c>
    </row>
    <row r="88" spans="1:17" x14ac:dyDescent="0.25">
      <c r="A88" s="13" t="s">
        <v>101</v>
      </c>
      <c r="B88" s="15">
        <v>45411</v>
      </c>
      <c r="C88" s="16">
        <v>0.34192129629629631</v>
      </c>
      <c r="D88" s="13">
        <v>0.37317129629629631</v>
      </c>
      <c r="E88" s="13" t="s">
        <v>10</v>
      </c>
      <c r="F88" s="13" t="s">
        <v>11</v>
      </c>
      <c r="G88" s="13" t="s">
        <v>14</v>
      </c>
      <c r="H88" s="13" t="s">
        <v>13</v>
      </c>
      <c r="I88" s="13" t="s">
        <v>19</v>
      </c>
      <c r="J88" s="13" t="s">
        <v>22</v>
      </c>
      <c r="K88" s="6">
        <f t="shared" si="7"/>
        <v>45</v>
      </c>
      <c r="L88" s="7" t="str" cm="1">
        <f t="array" ref="L88">_xlfn.SWITCH(J88,
  "Bentong Toll Plaza", "Short (0-50km)",
  "Karak Toll Plaza", "Short (0-50km)",
  "Lanchang Toll Plaza", "Medium (50-100km)",
  "Temerloh Toll Plaza", "Medium (50-100km)",
  "Chenor Toll Plaza", "Long (100-200km)",
  "Maran Toll Plaza", "Long (100-200km)",
  "Gambang Toll Plaza", "Long (100-200km)",
  "CHECK"
)</f>
        <v>Short (0-50km)</v>
      </c>
      <c r="M88" s="7" t="str">
        <f t="shared" si="6"/>
        <v>Peak</v>
      </c>
      <c r="N88" s="7" t="str">
        <f t="shared" si="8"/>
        <v>Weekday</v>
      </c>
      <c r="O88" s="7">
        <f t="shared" si="9"/>
        <v>8</v>
      </c>
      <c r="P88" s="7" t="str">
        <f t="shared" si="10"/>
        <v>Apr</v>
      </c>
      <c r="Q88" s="6">
        <f t="shared" si="11"/>
        <v>66.666666666666671</v>
      </c>
    </row>
    <row r="89" spans="1:17" x14ac:dyDescent="0.25">
      <c r="A89" s="13" t="s">
        <v>102</v>
      </c>
      <c r="B89" s="15">
        <v>45424</v>
      </c>
      <c r="C89" s="16">
        <v>0.58697916666666672</v>
      </c>
      <c r="D89" s="13">
        <v>0.67031249999999998</v>
      </c>
      <c r="E89" s="13" t="s">
        <v>15</v>
      </c>
      <c r="F89" s="13" t="s">
        <v>23</v>
      </c>
      <c r="G89" s="13" t="s">
        <v>12</v>
      </c>
      <c r="H89" s="13" t="s">
        <v>13</v>
      </c>
      <c r="I89" s="13" t="s">
        <v>19</v>
      </c>
      <c r="J89" s="13" t="s">
        <v>21</v>
      </c>
      <c r="K89" s="6">
        <f t="shared" si="7"/>
        <v>119.99999999999989</v>
      </c>
      <c r="L89" s="7" t="str" cm="1">
        <f t="array" ref="L89">_xlfn.SWITCH(J89,
  "Bentong Toll Plaza", "Short (0-50km)",
  "Karak Toll Plaza", "Short (0-50km)",
  "Lanchang Toll Plaza", "Medium (50-100km)",
  "Temerloh Toll Plaza", "Medium (50-100km)",
  "Chenor Toll Plaza", "Long (100-200km)",
  "Maran Toll Plaza", "Long (100-200km)",
  "Gambang Toll Plaza", "Long (100-200km)",
  "CHECK"
)</f>
        <v>Medium (50-100km)</v>
      </c>
      <c r="M89" s="7" t="str">
        <f t="shared" si="6"/>
        <v>Off-Peak</v>
      </c>
      <c r="N89" s="7" t="str">
        <f t="shared" si="8"/>
        <v>Weekend</v>
      </c>
      <c r="O89" s="7">
        <f t="shared" si="9"/>
        <v>14</v>
      </c>
      <c r="P89" s="7" t="str">
        <f t="shared" si="10"/>
        <v>May</v>
      </c>
      <c r="Q89" s="6">
        <f t="shared" si="11"/>
        <v>50.00000000000005</v>
      </c>
    </row>
    <row r="90" spans="1:17" x14ac:dyDescent="0.25">
      <c r="A90" s="13" t="s">
        <v>103</v>
      </c>
      <c r="B90" s="15">
        <v>45464</v>
      </c>
      <c r="C90" s="16">
        <v>0.32664351851851853</v>
      </c>
      <c r="D90" s="13">
        <v>0.35789351851851853</v>
      </c>
      <c r="E90" s="13" t="s">
        <v>10</v>
      </c>
      <c r="F90" s="13" t="s">
        <v>11</v>
      </c>
      <c r="G90" s="13" t="s">
        <v>16</v>
      </c>
      <c r="H90" s="13" t="s">
        <v>13</v>
      </c>
      <c r="I90" s="13" t="s">
        <v>19</v>
      </c>
      <c r="J90" s="13" t="s">
        <v>24</v>
      </c>
      <c r="K90" s="6">
        <f t="shared" si="7"/>
        <v>45</v>
      </c>
      <c r="L90" s="7" t="str" cm="1">
        <f t="array" ref="L90">_xlfn.SWITCH(J90,
  "Bentong Toll Plaza", "Short (0-50km)",
  "Karak Toll Plaza", "Short (0-50km)",
  "Lanchang Toll Plaza", "Medium (50-100km)",
  "Temerloh Toll Plaza", "Medium (50-100km)",
  "Chenor Toll Plaza", "Long (100-200km)",
  "Maran Toll Plaza", "Long (100-200km)",
  "Gambang Toll Plaza", "Long (100-200km)",
  "CHECK"
)</f>
        <v>Short (0-50km)</v>
      </c>
      <c r="M90" s="7" t="str">
        <f t="shared" si="6"/>
        <v>Peak</v>
      </c>
      <c r="N90" s="7" t="str">
        <f t="shared" si="8"/>
        <v>Weekday</v>
      </c>
      <c r="O90" s="7">
        <f t="shared" si="9"/>
        <v>7</v>
      </c>
      <c r="P90" s="7" t="str">
        <f t="shared" si="10"/>
        <v>Jun</v>
      </c>
      <c r="Q90" s="6">
        <f t="shared" si="11"/>
        <v>66.666666666666671</v>
      </c>
    </row>
    <row r="91" spans="1:17" x14ac:dyDescent="0.25">
      <c r="A91" s="13" t="s">
        <v>104</v>
      </c>
      <c r="B91" s="15">
        <v>45475</v>
      </c>
      <c r="C91" s="16">
        <v>0.42538194444444444</v>
      </c>
      <c r="D91" s="13">
        <v>0.50871527777777781</v>
      </c>
      <c r="E91" s="13" t="s">
        <v>17</v>
      </c>
      <c r="F91" s="13" t="s">
        <v>18</v>
      </c>
      <c r="G91" s="13" t="s">
        <v>14</v>
      </c>
      <c r="H91" s="13" t="s">
        <v>13</v>
      </c>
      <c r="I91" s="13" t="s">
        <v>19</v>
      </c>
      <c r="J91" s="13" t="s">
        <v>20</v>
      </c>
      <c r="K91" s="6">
        <f t="shared" si="7"/>
        <v>120.00000000000006</v>
      </c>
      <c r="L91" s="7" t="str" cm="1">
        <f t="array" ref="L91">_xlfn.SWITCH(J91,
  "Bentong Toll Plaza", "Short (0-50km)",
  "Karak Toll Plaza", "Short (0-50km)",
  "Lanchang Toll Plaza", "Medium (50-100km)",
  "Temerloh Toll Plaza", "Medium (50-100km)",
  "Chenor Toll Plaza", "Long (100-200km)",
  "Maran Toll Plaza", "Long (100-200km)",
  "Gambang Toll Plaza", "Long (100-200km)",
  "CHECK"
)</f>
        <v>Long (100-200km)</v>
      </c>
      <c r="M91" s="7" t="str">
        <f t="shared" si="6"/>
        <v>Off-Peak</v>
      </c>
      <c r="N91" s="7" t="str">
        <f t="shared" si="8"/>
        <v>Weekday</v>
      </c>
      <c r="O91" s="7">
        <f t="shared" si="9"/>
        <v>10</v>
      </c>
      <c r="P91" s="7" t="str">
        <f t="shared" si="10"/>
        <v>Jul</v>
      </c>
      <c r="Q91" s="6">
        <f t="shared" si="11"/>
        <v>99.999999999999957</v>
      </c>
    </row>
    <row r="92" spans="1:17" x14ac:dyDescent="0.25">
      <c r="A92" s="13" t="s">
        <v>105</v>
      </c>
      <c r="B92" s="15">
        <v>45519</v>
      </c>
      <c r="C92" s="16">
        <v>0.27789351851851851</v>
      </c>
      <c r="D92" s="13">
        <v>0.30914351851851851</v>
      </c>
      <c r="E92" s="13" t="s">
        <v>10</v>
      </c>
      <c r="F92" s="13" t="s">
        <v>11</v>
      </c>
      <c r="G92" s="13" t="s">
        <v>14</v>
      </c>
      <c r="H92" s="13" t="s">
        <v>13</v>
      </c>
      <c r="I92" s="13" t="s">
        <v>19</v>
      </c>
      <c r="J92" s="13" t="s">
        <v>22</v>
      </c>
      <c r="K92" s="6">
        <f t="shared" si="7"/>
        <v>45</v>
      </c>
      <c r="L92" s="7" t="str" cm="1">
        <f t="array" ref="L92">_xlfn.SWITCH(J92,
  "Bentong Toll Plaza", "Short (0-50km)",
  "Karak Toll Plaza", "Short (0-50km)",
  "Lanchang Toll Plaza", "Medium (50-100km)",
  "Temerloh Toll Plaza", "Medium (50-100km)",
  "Chenor Toll Plaza", "Long (100-200km)",
  "Maran Toll Plaza", "Long (100-200km)",
  "Gambang Toll Plaza", "Long (100-200km)",
  "CHECK"
)</f>
        <v>Short (0-50km)</v>
      </c>
      <c r="M92" s="7" t="str">
        <f t="shared" si="6"/>
        <v>Off-Peak</v>
      </c>
      <c r="N92" s="7" t="str">
        <f t="shared" si="8"/>
        <v>Weekday</v>
      </c>
      <c r="O92" s="7">
        <f t="shared" si="9"/>
        <v>6</v>
      </c>
      <c r="P92" s="7" t="str">
        <f t="shared" si="10"/>
        <v>Aug</v>
      </c>
      <c r="Q92" s="6">
        <f t="shared" si="11"/>
        <v>66.666666666666671</v>
      </c>
    </row>
    <row r="93" spans="1:17" x14ac:dyDescent="0.25">
      <c r="A93" s="13" t="s">
        <v>106</v>
      </c>
      <c r="B93" s="15">
        <v>45562</v>
      </c>
      <c r="C93" s="16">
        <v>0.71232638888888888</v>
      </c>
      <c r="D93" s="13">
        <v>0.79565972222222225</v>
      </c>
      <c r="E93" s="13" t="s">
        <v>15</v>
      </c>
      <c r="F93" s="13" t="s">
        <v>23</v>
      </c>
      <c r="G93" s="13" t="s">
        <v>12</v>
      </c>
      <c r="H93" s="13" t="s">
        <v>13</v>
      </c>
      <c r="I93" s="13" t="s">
        <v>19</v>
      </c>
      <c r="J93" s="13" t="s">
        <v>21</v>
      </c>
      <c r="K93" s="6">
        <f t="shared" si="7"/>
        <v>120.00000000000006</v>
      </c>
      <c r="L93" s="7" t="str" cm="1">
        <f t="array" ref="L93">_xlfn.SWITCH(J93,
  "Bentong Toll Plaza", "Short (0-50km)",
  "Karak Toll Plaza", "Short (0-50km)",
  "Lanchang Toll Plaza", "Medium (50-100km)",
  "Temerloh Toll Plaza", "Medium (50-100km)",
  "Chenor Toll Plaza", "Long (100-200km)",
  "Maran Toll Plaza", "Long (100-200km)",
  "Gambang Toll Plaza", "Long (100-200km)",
  "CHECK"
)</f>
        <v>Medium (50-100km)</v>
      </c>
      <c r="M93" s="7" t="str">
        <f t="shared" si="6"/>
        <v>Peak</v>
      </c>
      <c r="N93" s="7" t="str">
        <f t="shared" si="8"/>
        <v>Weekday</v>
      </c>
      <c r="O93" s="7">
        <f t="shared" si="9"/>
        <v>17</v>
      </c>
      <c r="P93" s="7" t="str">
        <f t="shared" si="10"/>
        <v>Sep</v>
      </c>
      <c r="Q93" s="6">
        <f t="shared" si="11"/>
        <v>49.999999999999979</v>
      </c>
    </row>
    <row r="94" spans="1:17" x14ac:dyDescent="0.25">
      <c r="A94" s="13" t="s">
        <v>107</v>
      </c>
      <c r="B94" s="15">
        <v>45573</v>
      </c>
      <c r="C94" s="16">
        <v>0.53486111111111112</v>
      </c>
      <c r="D94" s="13">
        <v>0.56611111111111112</v>
      </c>
      <c r="E94" s="13" t="s">
        <v>10</v>
      </c>
      <c r="F94" s="13" t="s">
        <v>11</v>
      </c>
      <c r="G94" s="13" t="s">
        <v>16</v>
      </c>
      <c r="H94" s="13" t="s">
        <v>13</v>
      </c>
      <c r="I94" s="13" t="s">
        <v>19</v>
      </c>
      <c r="J94" s="13" t="s">
        <v>24</v>
      </c>
      <c r="K94" s="6">
        <f t="shared" si="7"/>
        <v>45</v>
      </c>
      <c r="L94" s="7" t="str" cm="1">
        <f t="array" ref="L94">_xlfn.SWITCH(J94,
  "Bentong Toll Plaza", "Short (0-50km)",
  "Karak Toll Plaza", "Short (0-50km)",
  "Lanchang Toll Plaza", "Medium (50-100km)",
  "Temerloh Toll Plaza", "Medium (50-100km)",
  "Chenor Toll Plaza", "Long (100-200km)",
  "Maran Toll Plaza", "Long (100-200km)",
  "Gambang Toll Plaza", "Long (100-200km)",
  "CHECK"
)</f>
        <v>Short (0-50km)</v>
      </c>
      <c r="M94" s="7" t="str">
        <f t="shared" si="6"/>
        <v>Off-Peak</v>
      </c>
      <c r="N94" s="7" t="str">
        <f t="shared" si="8"/>
        <v>Weekday</v>
      </c>
      <c r="O94" s="7">
        <f t="shared" si="9"/>
        <v>12</v>
      </c>
      <c r="P94" s="7" t="str">
        <f t="shared" si="10"/>
        <v>Oct</v>
      </c>
      <c r="Q94" s="6">
        <f t="shared" si="11"/>
        <v>66.666666666666671</v>
      </c>
    </row>
    <row r="95" spans="1:17" x14ac:dyDescent="0.25">
      <c r="A95" s="13" t="s">
        <v>108</v>
      </c>
      <c r="B95" s="15">
        <v>45615</v>
      </c>
      <c r="C95" s="16">
        <v>0.30928240740740742</v>
      </c>
      <c r="D95" s="13">
        <v>0.39261574074074074</v>
      </c>
      <c r="E95" s="13" t="s">
        <v>17</v>
      </c>
      <c r="F95" s="13" t="s">
        <v>18</v>
      </c>
      <c r="G95" s="13" t="s">
        <v>16</v>
      </c>
      <c r="H95" s="13" t="s">
        <v>13</v>
      </c>
      <c r="I95" s="13" t="s">
        <v>19</v>
      </c>
      <c r="J95" s="13" t="s">
        <v>20</v>
      </c>
      <c r="K95" s="6">
        <f t="shared" si="7"/>
        <v>119.99999999999997</v>
      </c>
      <c r="L95" s="7" t="str" cm="1">
        <f t="array" ref="L95">_xlfn.SWITCH(J95,
  "Bentong Toll Plaza", "Short (0-50km)",
  "Karak Toll Plaza", "Short (0-50km)",
  "Lanchang Toll Plaza", "Medium (50-100km)",
  "Temerloh Toll Plaza", "Medium (50-100km)",
  "Chenor Toll Plaza", "Long (100-200km)",
  "Maran Toll Plaza", "Long (100-200km)",
  "Gambang Toll Plaza", "Long (100-200km)",
  "CHECK"
)</f>
        <v>Long (100-200km)</v>
      </c>
      <c r="M95" s="7" t="str">
        <f t="shared" si="6"/>
        <v>Peak</v>
      </c>
      <c r="N95" s="7" t="str">
        <f t="shared" si="8"/>
        <v>Weekday</v>
      </c>
      <c r="O95" s="7">
        <f t="shared" si="9"/>
        <v>7</v>
      </c>
      <c r="P95" s="7" t="str">
        <f t="shared" si="10"/>
        <v>Nov</v>
      </c>
      <c r="Q95" s="6">
        <f t="shared" si="11"/>
        <v>100.00000000000003</v>
      </c>
    </row>
    <row r="96" spans="1:17" x14ac:dyDescent="0.25">
      <c r="A96" s="13" t="s">
        <v>109</v>
      </c>
      <c r="B96" s="15">
        <v>45656</v>
      </c>
      <c r="C96" s="16">
        <v>0.23275462962962962</v>
      </c>
      <c r="D96" s="13">
        <v>0.26400462962962962</v>
      </c>
      <c r="E96" s="13" t="s">
        <v>10</v>
      </c>
      <c r="F96" s="13" t="s">
        <v>11</v>
      </c>
      <c r="G96" s="13" t="s">
        <v>14</v>
      </c>
      <c r="H96" s="13" t="s">
        <v>13</v>
      </c>
      <c r="I96" s="13" t="s">
        <v>19</v>
      </c>
      <c r="J96" s="13" t="s">
        <v>22</v>
      </c>
      <c r="K96" s="6">
        <f t="shared" si="7"/>
        <v>45</v>
      </c>
      <c r="L96" s="7" t="str" cm="1">
        <f t="array" ref="L96">_xlfn.SWITCH(J96,
  "Bentong Toll Plaza", "Short (0-50km)",
  "Karak Toll Plaza", "Short (0-50km)",
  "Lanchang Toll Plaza", "Medium (50-100km)",
  "Temerloh Toll Plaza", "Medium (50-100km)",
  "Chenor Toll Plaza", "Long (100-200km)",
  "Maran Toll Plaza", "Long (100-200km)",
  "Gambang Toll Plaza", "Long (100-200km)",
  "CHECK"
)</f>
        <v>Short (0-50km)</v>
      </c>
      <c r="M96" s="7" t="str">
        <f t="shared" si="6"/>
        <v>Off-Peak</v>
      </c>
      <c r="N96" s="7" t="str">
        <f t="shared" si="8"/>
        <v>Weekday</v>
      </c>
      <c r="O96" s="7">
        <f t="shared" si="9"/>
        <v>5</v>
      </c>
      <c r="P96" s="7" t="str">
        <f t="shared" si="10"/>
        <v>Dec</v>
      </c>
      <c r="Q96" s="6">
        <f t="shared" si="11"/>
        <v>66.666666666666671</v>
      </c>
    </row>
    <row r="97" spans="1:17" x14ac:dyDescent="0.25">
      <c r="A97" s="13" t="s">
        <v>110</v>
      </c>
      <c r="B97" s="15">
        <v>45302</v>
      </c>
      <c r="C97" s="16">
        <v>0.59065972222222218</v>
      </c>
      <c r="D97" s="13">
        <v>0.67399305555555555</v>
      </c>
      <c r="E97" s="13" t="s">
        <v>15</v>
      </c>
      <c r="F97" s="13" t="s">
        <v>23</v>
      </c>
      <c r="G97" s="13" t="s">
        <v>12</v>
      </c>
      <c r="H97" s="13" t="s">
        <v>13</v>
      </c>
      <c r="I97" s="13" t="s">
        <v>19</v>
      </c>
      <c r="J97" s="13" t="s">
        <v>21</v>
      </c>
      <c r="K97" s="6">
        <f t="shared" si="7"/>
        <v>120.00000000000006</v>
      </c>
      <c r="L97" s="7" t="str" cm="1">
        <f t="array" ref="L97">_xlfn.SWITCH(J97,
  "Bentong Toll Plaza", "Short (0-50km)",
  "Karak Toll Plaza", "Short (0-50km)",
  "Lanchang Toll Plaza", "Medium (50-100km)",
  "Temerloh Toll Plaza", "Medium (50-100km)",
  "Chenor Toll Plaza", "Long (100-200km)",
  "Maran Toll Plaza", "Long (100-200km)",
  "Gambang Toll Plaza", "Long (100-200km)",
  "CHECK"
)</f>
        <v>Medium (50-100km)</v>
      </c>
      <c r="M97" s="7" t="str">
        <f t="shared" si="6"/>
        <v>Off-Peak</v>
      </c>
      <c r="N97" s="7" t="str">
        <f t="shared" si="8"/>
        <v>Weekday</v>
      </c>
      <c r="O97" s="7">
        <f t="shared" si="9"/>
        <v>14</v>
      </c>
      <c r="P97" s="7" t="str">
        <f t="shared" si="10"/>
        <v>Jan</v>
      </c>
      <c r="Q97" s="6">
        <f t="shared" si="11"/>
        <v>49.999999999999979</v>
      </c>
    </row>
    <row r="98" spans="1:17" x14ac:dyDescent="0.25">
      <c r="A98" s="13" t="s">
        <v>111</v>
      </c>
      <c r="B98" s="15">
        <v>45345</v>
      </c>
      <c r="C98" s="16">
        <v>0.33706018518518521</v>
      </c>
      <c r="D98" s="13">
        <v>0.36831018518518521</v>
      </c>
      <c r="E98" s="13" t="s">
        <v>10</v>
      </c>
      <c r="F98" s="13" t="s">
        <v>11</v>
      </c>
      <c r="G98" s="13" t="s">
        <v>16</v>
      </c>
      <c r="H98" s="13" t="s">
        <v>13</v>
      </c>
      <c r="I98" s="13" t="s">
        <v>19</v>
      </c>
      <c r="J98" s="13" t="s">
        <v>24</v>
      </c>
      <c r="K98" s="6">
        <f t="shared" si="7"/>
        <v>45</v>
      </c>
      <c r="L98" s="7" t="str" cm="1">
        <f t="array" ref="L98">_xlfn.SWITCH(J98,
  "Bentong Toll Plaza", "Short (0-50km)",
  "Karak Toll Plaza", "Short (0-50km)",
  "Lanchang Toll Plaza", "Medium (50-100km)",
  "Temerloh Toll Plaza", "Medium (50-100km)",
  "Chenor Toll Plaza", "Long (100-200km)",
  "Maran Toll Plaza", "Long (100-200km)",
  "Gambang Toll Plaza", "Long (100-200km)",
  "CHECK"
)</f>
        <v>Short (0-50km)</v>
      </c>
      <c r="M98" s="7" t="str">
        <f t="shared" si="6"/>
        <v>Peak</v>
      </c>
      <c r="N98" s="7" t="str">
        <f t="shared" si="8"/>
        <v>Weekday</v>
      </c>
      <c r="O98" s="7">
        <f t="shared" si="9"/>
        <v>8</v>
      </c>
      <c r="P98" s="7" t="str">
        <f t="shared" si="10"/>
        <v>Feb</v>
      </c>
      <c r="Q98" s="6">
        <f t="shared" si="11"/>
        <v>66.666666666666671</v>
      </c>
    </row>
    <row r="99" spans="1:17" x14ac:dyDescent="0.25">
      <c r="A99" s="13" t="s">
        <v>112</v>
      </c>
      <c r="B99" s="15">
        <v>45356</v>
      </c>
      <c r="C99" s="16">
        <v>0.40983796296296299</v>
      </c>
      <c r="D99" s="13">
        <v>0.4931712962962963</v>
      </c>
      <c r="E99" s="13" t="s">
        <v>17</v>
      </c>
      <c r="F99" s="13" t="s">
        <v>18</v>
      </c>
      <c r="G99" s="13" t="s">
        <v>14</v>
      </c>
      <c r="H99" s="13" t="s">
        <v>13</v>
      </c>
      <c r="I99" s="13" t="s">
        <v>19</v>
      </c>
      <c r="J99" s="13" t="s">
        <v>20</v>
      </c>
      <c r="K99" s="6">
        <f t="shared" si="7"/>
        <v>119.99999999999997</v>
      </c>
      <c r="L99" s="7" t="str" cm="1">
        <f t="array" ref="L99">_xlfn.SWITCH(J99,
  "Bentong Toll Plaza", "Short (0-50km)",
  "Karak Toll Plaza", "Short (0-50km)",
  "Lanchang Toll Plaza", "Medium (50-100km)",
  "Temerloh Toll Plaza", "Medium (50-100km)",
  "Chenor Toll Plaza", "Long (100-200km)",
  "Maran Toll Plaza", "Long (100-200km)",
  "Gambang Toll Plaza", "Long (100-200km)",
  "CHECK"
)</f>
        <v>Long (100-200km)</v>
      </c>
      <c r="M99" s="7" t="str">
        <f t="shared" si="6"/>
        <v>Off-Peak</v>
      </c>
      <c r="N99" s="7" t="str">
        <f t="shared" si="8"/>
        <v>Weekday</v>
      </c>
      <c r="O99" s="7">
        <f t="shared" si="9"/>
        <v>9</v>
      </c>
      <c r="P99" s="7" t="str">
        <f t="shared" si="10"/>
        <v>Mar</v>
      </c>
      <c r="Q99" s="6">
        <f t="shared" si="11"/>
        <v>100.00000000000003</v>
      </c>
    </row>
    <row r="100" spans="1:17" x14ac:dyDescent="0.25">
      <c r="A100" s="13" t="s">
        <v>113</v>
      </c>
      <c r="B100" s="15">
        <v>45398</v>
      </c>
      <c r="C100" s="16">
        <v>0.25885416666666666</v>
      </c>
      <c r="D100" s="13">
        <v>0.29010416666666666</v>
      </c>
      <c r="E100" s="13" t="s">
        <v>10</v>
      </c>
      <c r="F100" s="13" t="s">
        <v>11</v>
      </c>
      <c r="G100" s="13" t="s">
        <v>14</v>
      </c>
      <c r="H100" s="13" t="s">
        <v>13</v>
      </c>
      <c r="I100" s="13" t="s">
        <v>19</v>
      </c>
      <c r="J100" s="13" t="s">
        <v>22</v>
      </c>
      <c r="K100" s="6">
        <f t="shared" si="7"/>
        <v>45</v>
      </c>
      <c r="L100" s="7" t="str" cm="1">
        <f t="array" ref="L100">_xlfn.SWITCH(J100,
  "Bentong Toll Plaza", "Short (0-50km)",
  "Karak Toll Plaza", "Short (0-50km)",
  "Lanchang Toll Plaza", "Medium (50-100km)",
  "Temerloh Toll Plaza", "Medium (50-100km)",
  "Chenor Toll Plaza", "Long (100-200km)",
  "Maran Toll Plaza", "Long (100-200km)",
  "Gambang Toll Plaza", "Long (100-200km)",
  "CHECK"
)</f>
        <v>Short (0-50km)</v>
      </c>
      <c r="M100" s="7" t="str">
        <f t="shared" si="6"/>
        <v>Off-Peak</v>
      </c>
      <c r="N100" s="7" t="str">
        <f t="shared" si="8"/>
        <v>Weekday</v>
      </c>
      <c r="O100" s="7">
        <f t="shared" si="9"/>
        <v>6</v>
      </c>
      <c r="P100" s="7" t="str">
        <f t="shared" si="10"/>
        <v>Apr</v>
      </c>
      <c r="Q100" s="6">
        <f t="shared" si="11"/>
        <v>66.666666666666671</v>
      </c>
    </row>
    <row r="101" spans="1:17" x14ac:dyDescent="0.25">
      <c r="A101" s="13" t="s">
        <v>114</v>
      </c>
      <c r="B101" s="15">
        <v>45440</v>
      </c>
      <c r="C101" s="16">
        <v>0.72260416666666671</v>
      </c>
      <c r="D101" s="13">
        <v>0.80593749999999997</v>
      </c>
      <c r="E101" s="13" t="s">
        <v>15</v>
      </c>
      <c r="F101" s="13" t="s">
        <v>23</v>
      </c>
      <c r="G101" s="13" t="s">
        <v>12</v>
      </c>
      <c r="H101" s="13" t="s">
        <v>13</v>
      </c>
      <c r="I101" s="13" t="s">
        <v>19</v>
      </c>
      <c r="J101" s="13" t="s">
        <v>21</v>
      </c>
      <c r="K101" s="6">
        <f t="shared" si="7"/>
        <v>119.99999999999989</v>
      </c>
      <c r="L101" s="7" t="str" cm="1">
        <f t="array" ref="L101">_xlfn.SWITCH(J101,
  "Bentong Toll Plaza", "Short (0-50km)",
  "Karak Toll Plaza", "Short (0-50km)",
  "Lanchang Toll Plaza", "Medium (50-100km)",
  "Temerloh Toll Plaza", "Medium (50-100km)",
  "Chenor Toll Plaza", "Long (100-200km)",
  "Maran Toll Plaza", "Long (100-200km)",
  "Gambang Toll Plaza", "Long (100-200km)",
  "CHECK"
)</f>
        <v>Medium (50-100km)</v>
      </c>
      <c r="M101" s="7" t="str">
        <f t="shared" si="6"/>
        <v>Peak</v>
      </c>
      <c r="N101" s="7" t="str">
        <f t="shared" si="8"/>
        <v>Weekday</v>
      </c>
      <c r="O101" s="7">
        <f t="shared" si="9"/>
        <v>17</v>
      </c>
      <c r="P101" s="7" t="str">
        <f t="shared" si="10"/>
        <v>May</v>
      </c>
      <c r="Q101" s="6">
        <f t="shared" si="11"/>
        <v>50.00000000000005</v>
      </c>
    </row>
    <row r="102" spans="1:17" x14ac:dyDescent="0.25">
      <c r="A102" s="13" t="s">
        <v>115</v>
      </c>
      <c r="B102" s="15">
        <v>45452</v>
      </c>
      <c r="C102" s="16">
        <v>0.29527777777777775</v>
      </c>
      <c r="D102" s="13">
        <v>0.32652777777777775</v>
      </c>
      <c r="E102" s="13" t="s">
        <v>10</v>
      </c>
      <c r="F102" s="13" t="s">
        <v>11</v>
      </c>
      <c r="G102" s="13" t="s">
        <v>16</v>
      </c>
      <c r="H102" s="13" t="s">
        <v>13</v>
      </c>
      <c r="I102" s="13" t="s">
        <v>19</v>
      </c>
      <c r="J102" s="13" t="s">
        <v>24</v>
      </c>
      <c r="K102" s="6">
        <f t="shared" si="7"/>
        <v>45</v>
      </c>
      <c r="L102" s="7" t="str" cm="1">
        <f t="array" ref="L102">_xlfn.SWITCH(J102,
  "Bentong Toll Plaza", "Short (0-50km)",
  "Karak Toll Plaza", "Short (0-50km)",
  "Lanchang Toll Plaza", "Medium (50-100km)",
  "Temerloh Toll Plaza", "Medium (50-100km)",
  "Chenor Toll Plaza", "Long (100-200km)",
  "Maran Toll Plaza", "Long (100-200km)",
  "Gambang Toll Plaza", "Long (100-200km)",
  "CHECK"
)</f>
        <v>Short (0-50km)</v>
      </c>
      <c r="M102" s="7" t="str">
        <f t="shared" si="6"/>
        <v>Peak</v>
      </c>
      <c r="N102" s="7" t="str">
        <f t="shared" si="8"/>
        <v>Weekend</v>
      </c>
      <c r="O102" s="7">
        <f t="shared" si="9"/>
        <v>7</v>
      </c>
      <c r="P102" s="7" t="str">
        <f t="shared" si="10"/>
        <v>Jun</v>
      </c>
      <c r="Q102" s="6">
        <f t="shared" si="11"/>
        <v>66.666666666666671</v>
      </c>
    </row>
    <row r="103" spans="1:17" x14ac:dyDescent="0.25">
      <c r="A103" s="13" t="s">
        <v>116</v>
      </c>
      <c r="B103" s="15">
        <v>45493</v>
      </c>
      <c r="C103" s="16">
        <v>0.36122685185185183</v>
      </c>
      <c r="D103" s="13">
        <v>0.4445601851851852</v>
      </c>
      <c r="E103" s="13" t="s">
        <v>17</v>
      </c>
      <c r="F103" s="13" t="s">
        <v>18</v>
      </c>
      <c r="G103" s="13" t="s">
        <v>16</v>
      </c>
      <c r="H103" s="13" t="s">
        <v>13</v>
      </c>
      <c r="I103" s="13" t="s">
        <v>19</v>
      </c>
      <c r="J103" s="13" t="s">
        <v>20</v>
      </c>
      <c r="K103" s="6">
        <f t="shared" si="7"/>
        <v>120.00000000000006</v>
      </c>
      <c r="L103" s="7" t="str" cm="1">
        <f t="array" ref="L103">_xlfn.SWITCH(J103,
  "Bentong Toll Plaza", "Short (0-50km)",
  "Karak Toll Plaza", "Short (0-50km)",
  "Lanchang Toll Plaza", "Medium (50-100km)",
  "Temerloh Toll Plaza", "Medium (50-100km)",
  "Chenor Toll Plaza", "Long (100-200km)",
  "Maran Toll Plaza", "Long (100-200km)",
  "Gambang Toll Plaza", "Long (100-200km)",
  "CHECK"
)</f>
        <v>Long (100-200km)</v>
      </c>
      <c r="M103" s="7" t="str">
        <f t="shared" si="6"/>
        <v>Peak</v>
      </c>
      <c r="N103" s="7" t="str">
        <f t="shared" si="8"/>
        <v>Weekend</v>
      </c>
      <c r="O103" s="7">
        <f t="shared" si="9"/>
        <v>8</v>
      </c>
      <c r="P103" s="7" t="str">
        <f t="shared" si="10"/>
        <v>Jul</v>
      </c>
      <c r="Q103" s="6">
        <f t="shared" si="11"/>
        <v>99.999999999999957</v>
      </c>
    </row>
    <row r="104" spans="1:17" x14ac:dyDescent="0.25">
      <c r="A104" s="13" t="s">
        <v>117</v>
      </c>
      <c r="B104" s="15">
        <v>45505</v>
      </c>
      <c r="C104" s="16">
        <v>0.22594907407407408</v>
      </c>
      <c r="D104" s="13">
        <v>0.25719907407407405</v>
      </c>
      <c r="E104" s="13" t="s">
        <v>10</v>
      </c>
      <c r="F104" s="13" t="s">
        <v>11</v>
      </c>
      <c r="G104" s="13" t="s">
        <v>14</v>
      </c>
      <c r="H104" s="13" t="s">
        <v>13</v>
      </c>
      <c r="I104" s="13" t="s">
        <v>19</v>
      </c>
      <c r="J104" s="13" t="s">
        <v>22</v>
      </c>
      <c r="K104" s="6">
        <f t="shared" si="7"/>
        <v>44.999999999999957</v>
      </c>
      <c r="L104" s="7" t="str" cm="1">
        <f t="array" ref="L104">_xlfn.SWITCH(J104,
  "Bentong Toll Plaza", "Short (0-50km)",
  "Karak Toll Plaza", "Short (0-50km)",
  "Lanchang Toll Plaza", "Medium (50-100km)",
  "Temerloh Toll Plaza", "Medium (50-100km)",
  "Chenor Toll Plaza", "Long (100-200km)",
  "Maran Toll Plaza", "Long (100-200km)",
  "Gambang Toll Plaza", "Long (100-200km)",
  "CHECK"
)</f>
        <v>Short (0-50km)</v>
      </c>
      <c r="M104" s="7" t="str">
        <f t="shared" si="6"/>
        <v>Off-Peak</v>
      </c>
      <c r="N104" s="7" t="str">
        <f t="shared" si="8"/>
        <v>Weekday</v>
      </c>
      <c r="O104" s="7">
        <f t="shared" si="9"/>
        <v>5</v>
      </c>
      <c r="P104" s="7" t="str">
        <f t="shared" si="10"/>
        <v>Aug</v>
      </c>
      <c r="Q104" s="6">
        <f t="shared" si="11"/>
        <v>66.666666666666728</v>
      </c>
    </row>
    <row r="105" spans="1:17" x14ac:dyDescent="0.25">
      <c r="A105" s="13" t="s">
        <v>118</v>
      </c>
      <c r="B105" s="15">
        <v>45547</v>
      </c>
      <c r="C105" s="16">
        <v>0.55038194444444444</v>
      </c>
      <c r="D105" s="13">
        <v>0.63371527777777781</v>
      </c>
      <c r="E105" s="13" t="s">
        <v>15</v>
      </c>
      <c r="F105" s="13" t="s">
        <v>23</v>
      </c>
      <c r="G105" s="13" t="s">
        <v>12</v>
      </c>
      <c r="H105" s="13" t="s">
        <v>13</v>
      </c>
      <c r="I105" s="13" t="s">
        <v>19</v>
      </c>
      <c r="J105" s="13" t="s">
        <v>21</v>
      </c>
      <c r="K105" s="6">
        <f t="shared" si="7"/>
        <v>120.00000000000006</v>
      </c>
      <c r="L105" s="7" t="str" cm="1">
        <f t="array" ref="L105">_xlfn.SWITCH(J105,
  "Bentong Toll Plaza", "Short (0-50km)",
  "Karak Toll Plaza", "Short (0-50km)",
  "Lanchang Toll Plaza", "Medium (50-100km)",
  "Temerloh Toll Plaza", "Medium (50-100km)",
  "Chenor Toll Plaza", "Long (100-200km)",
  "Maran Toll Plaza", "Long (100-200km)",
  "Gambang Toll Plaza", "Long (100-200km)",
  "CHECK"
)</f>
        <v>Medium (50-100km)</v>
      </c>
      <c r="M105" s="7" t="str">
        <f t="shared" si="6"/>
        <v>Off-Peak</v>
      </c>
      <c r="N105" s="7" t="str">
        <f t="shared" si="8"/>
        <v>Weekday</v>
      </c>
      <c r="O105" s="7">
        <f t="shared" si="9"/>
        <v>13</v>
      </c>
      <c r="P105" s="7" t="str">
        <f t="shared" si="10"/>
        <v>Sep</v>
      </c>
      <c r="Q105" s="6">
        <f t="shared" si="11"/>
        <v>49.999999999999979</v>
      </c>
    </row>
    <row r="106" spans="1:17" x14ac:dyDescent="0.25">
      <c r="A106" s="13" t="s">
        <v>119</v>
      </c>
      <c r="B106" s="15">
        <v>45589</v>
      </c>
      <c r="C106" s="16">
        <v>0.28486111111111112</v>
      </c>
      <c r="D106" s="13">
        <v>0.31611111111111112</v>
      </c>
      <c r="E106" s="13" t="s">
        <v>10</v>
      </c>
      <c r="F106" s="13" t="s">
        <v>11</v>
      </c>
      <c r="G106" s="13" t="s">
        <v>16</v>
      </c>
      <c r="H106" s="13" t="s">
        <v>13</v>
      </c>
      <c r="I106" s="13" t="s">
        <v>19</v>
      </c>
      <c r="J106" s="13" t="s">
        <v>24</v>
      </c>
      <c r="K106" s="6">
        <f t="shared" si="7"/>
        <v>45</v>
      </c>
      <c r="L106" s="7" t="str" cm="1">
        <f t="array" ref="L106">_xlfn.SWITCH(J106,
  "Bentong Toll Plaza", "Short (0-50km)",
  "Karak Toll Plaza", "Short (0-50km)",
  "Lanchang Toll Plaza", "Medium (50-100km)",
  "Temerloh Toll Plaza", "Medium (50-100km)",
  "Chenor Toll Plaza", "Long (100-200km)",
  "Maran Toll Plaza", "Long (100-200km)",
  "Gambang Toll Plaza", "Long (100-200km)",
  "CHECK"
)</f>
        <v>Short (0-50km)</v>
      </c>
      <c r="M106" s="7" t="str">
        <f t="shared" si="6"/>
        <v>Off-Peak</v>
      </c>
      <c r="N106" s="7" t="str">
        <f t="shared" si="8"/>
        <v>Weekday</v>
      </c>
      <c r="O106" s="7">
        <f t="shared" si="9"/>
        <v>6</v>
      </c>
      <c r="P106" s="7" t="str">
        <f t="shared" si="10"/>
        <v>Oct</v>
      </c>
      <c r="Q106" s="6">
        <f t="shared" si="11"/>
        <v>66.666666666666671</v>
      </c>
    </row>
    <row r="107" spans="1:17" x14ac:dyDescent="0.25">
      <c r="A107" s="13" t="s">
        <v>120</v>
      </c>
      <c r="B107" s="15">
        <v>45600</v>
      </c>
      <c r="C107" s="16">
        <v>0.42052083333333334</v>
      </c>
      <c r="D107" s="13">
        <v>0.50385416666666671</v>
      </c>
      <c r="E107" s="13" t="s">
        <v>17</v>
      </c>
      <c r="F107" s="13" t="s">
        <v>18</v>
      </c>
      <c r="G107" s="13" t="s">
        <v>14</v>
      </c>
      <c r="H107" s="13" t="s">
        <v>13</v>
      </c>
      <c r="I107" s="13" t="s">
        <v>19</v>
      </c>
      <c r="J107" s="13" t="s">
        <v>20</v>
      </c>
      <c r="K107" s="6">
        <f t="shared" si="7"/>
        <v>120.00000000000006</v>
      </c>
      <c r="L107" s="7" t="str" cm="1">
        <f t="array" ref="L107">_xlfn.SWITCH(J107,
  "Bentong Toll Plaza", "Short (0-50km)",
  "Karak Toll Plaza", "Short (0-50km)",
  "Lanchang Toll Plaza", "Medium (50-100km)",
  "Temerloh Toll Plaza", "Medium (50-100km)",
  "Chenor Toll Plaza", "Long (100-200km)",
  "Maran Toll Plaza", "Long (100-200km)",
  "Gambang Toll Plaza", "Long (100-200km)",
  "CHECK"
)</f>
        <v>Long (100-200km)</v>
      </c>
      <c r="M107" s="7" t="str">
        <f t="shared" si="6"/>
        <v>Off-Peak</v>
      </c>
      <c r="N107" s="7" t="str">
        <f t="shared" si="8"/>
        <v>Weekday</v>
      </c>
      <c r="O107" s="7">
        <f t="shared" si="9"/>
        <v>10</v>
      </c>
      <c r="P107" s="7" t="str">
        <f t="shared" si="10"/>
        <v>Nov</v>
      </c>
      <c r="Q107" s="6">
        <f t="shared" si="11"/>
        <v>99.999999999999957</v>
      </c>
    </row>
    <row r="108" spans="1:17" x14ac:dyDescent="0.25">
      <c r="A108" s="13" t="s">
        <v>121</v>
      </c>
      <c r="B108" s="15">
        <v>45641</v>
      </c>
      <c r="C108" s="16">
        <v>0.30025462962962962</v>
      </c>
      <c r="D108" s="13">
        <v>0.33150462962962962</v>
      </c>
      <c r="E108" s="13" t="s">
        <v>10</v>
      </c>
      <c r="F108" s="13" t="s">
        <v>11</v>
      </c>
      <c r="G108" s="13" t="s">
        <v>14</v>
      </c>
      <c r="H108" s="13" t="s">
        <v>13</v>
      </c>
      <c r="I108" s="13" t="s">
        <v>19</v>
      </c>
      <c r="J108" s="13" t="s">
        <v>22</v>
      </c>
      <c r="K108" s="6">
        <f t="shared" si="7"/>
        <v>45</v>
      </c>
      <c r="L108" s="7" t="str" cm="1">
        <f t="array" ref="L108">_xlfn.SWITCH(J108,
  "Bentong Toll Plaza", "Short (0-50km)",
  "Karak Toll Plaza", "Short (0-50km)",
  "Lanchang Toll Plaza", "Medium (50-100km)",
  "Temerloh Toll Plaza", "Medium (50-100km)",
  "Chenor Toll Plaza", "Long (100-200km)",
  "Maran Toll Plaza", "Long (100-200km)",
  "Gambang Toll Plaza", "Long (100-200km)",
  "CHECK"
)</f>
        <v>Short (0-50km)</v>
      </c>
      <c r="M108" s="7" t="str">
        <f t="shared" si="6"/>
        <v>Peak</v>
      </c>
      <c r="N108" s="7" t="str">
        <f t="shared" si="8"/>
        <v>Weekend</v>
      </c>
      <c r="O108" s="7">
        <f t="shared" si="9"/>
        <v>7</v>
      </c>
      <c r="P108" s="7" t="str">
        <f t="shared" si="10"/>
        <v>Dec</v>
      </c>
      <c r="Q108" s="6">
        <f t="shared" si="11"/>
        <v>66.666666666666671</v>
      </c>
    </row>
    <row r="109" spans="1:17" x14ac:dyDescent="0.25">
      <c r="A109" s="13" t="s">
        <v>122</v>
      </c>
      <c r="B109" s="15">
        <v>45317</v>
      </c>
      <c r="C109" s="16">
        <v>0.70150462962962967</v>
      </c>
      <c r="D109" s="13">
        <v>0.78483796296296293</v>
      </c>
      <c r="E109" s="13" t="s">
        <v>15</v>
      </c>
      <c r="F109" s="13" t="s">
        <v>23</v>
      </c>
      <c r="G109" s="13" t="s">
        <v>12</v>
      </c>
      <c r="H109" s="13" t="s">
        <v>13</v>
      </c>
      <c r="I109" s="13" t="s">
        <v>19</v>
      </c>
      <c r="J109" s="13" t="s">
        <v>21</v>
      </c>
      <c r="K109" s="6">
        <f t="shared" si="7"/>
        <v>119.99999999999989</v>
      </c>
      <c r="L109" s="7" t="str" cm="1">
        <f t="array" ref="L109">_xlfn.SWITCH(J109,
  "Bentong Toll Plaza", "Short (0-50km)",
  "Karak Toll Plaza", "Short (0-50km)",
  "Lanchang Toll Plaza", "Medium (50-100km)",
  "Temerloh Toll Plaza", "Medium (50-100km)",
  "Chenor Toll Plaza", "Long (100-200km)",
  "Maran Toll Plaza", "Long (100-200km)",
  "Gambang Toll Plaza", "Long (100-200km)",
  "CHECK"
)</f>
        <v>Medium (50-100km)</v>
      </c>
      <c r="M109" s="7" t="str">
        <f t="shared" si="6"/>
        <v>Off-Peak</v>
      </c>
      <c r="N109" s="7" t="str">
        <f t="shared" si="8"/>
        <v>Weekday</v>
      </c>
      <c r="O109" s="7">
        <f t="shared" si="9"/>
        <v>16</v>
      </c>
      <c r="P109" s="7" t="str">
        <f t="shared" si="10"/>
        <v>Jan</v>
      </c>
      <c r="Q109" s="6">
        <f t="shared" si="11"/>
        <v>50.00000000000005</v>
      </c>
    </row>
    <row r="110" spans="1:17" x14ac:dyDescent="0.25">
      <c r="A110" s="13" t="s">
        <v>123</v>
      </c>
      <c r="B110" s="15">
        <v>45329</v>
      </c>
      <c r="C110" s="16">
        <v>0.50372685185185184</v>
      </c>
      <c r="D110" s="13">
        <v>0.53497685185185184</v>
      </c>
      <c r="E110" s="13" t="s">
        <v>10</v>
      </c>
      <c r="F110" s="13" t="s">
        <v>11</v>
      </c>
      <c r="G110" s="13" t="s">
        <v>16</v>
      </c>
      <c r="H110" s="13" t="s">
        <v>13</v>
      </c>
      <c r="I110" s="13" t="s">
        <v>19</v>
      </c>
      <c r="J110" s="13" t="s">
        <v>24</v>
      </c>
      <c r="K110" s="6">
        <f t="shared" si="7"/>
        <v>45</v>
      </c>
      <c r="L110" s="7" t="str" cm="1">
        <f t="array" ref="L110">_xlfn.SWITCH(J110,
  "Bentong Toll Plaza", "Short (0-50km)",
  "Karak Toll Plaza", "Short (0-50km)",
  "Lanchang Toll Plaza", "Medium (50-100km)",
  "Temerloh Toll Plaza", "Medium (50-100km)",
  "Chenor Toll Plaza", "Long (100-200km)",
  "Maran Toll Plaza", "Long (100-200km)",
  "Gambang Toll Plaza", "Long (100-200km)",
  "CHECK"
)</f>
        <v>Short (0-50km)</v>
      </c>
      <c r="M110" s="7" t="str">
        <f t="shared" si="6"/>
        <v>Off-Peak</v>
      </c>
      <c r="N110" s="7" t="str">
        <f t="shared" si="8"/>
        <v>Weekday</v>
      </c>
      <c r="O110" s="7">
        <f t="shared" si="9"/>
        <v>12</v>
      </c>
      <c r="P110" s="7" t="str">
        <f t="shared" si="10"/>
        <v>Feb</v>
      </c>
      <c r="Q110" s="6">
        <f t="shared" si="11"/>
        <v>66.666666666666671</v>
      </c>
    </row>
    <row r="111" spans="1:17" x14ac:dyDescent="0.25">
      <c r="A111" s="13" t="s">
        <v>124</v>
      </c>
      <c r="B111" s="15">
        <v>45369</v>
      </c>
      <c r="C111" s="16">
        <v>0.27815972222222224</v>
      </c>
      <c r="D111" s="13">
        <v>0.36149305555555555</v>
      </c>
      <c r="E111" s="13" t="s">
        <v>17</v>
      </c>
      <c r="F111" s="13" t="s">
        <v>18</v>
      </c>
      <c r="G111" s="13" t="s">
        <v>16</v>
      </c>
      <c r="H111" s="13" t="s">
        <v>13</v>
      </c>
      <c r="I111" s="13" t="s">
        <v>19</v>
      </c>
      <c r="J111" s="13" t="s">
        <v>20</v>
      </c>
      <c r="K111" s="6">
        <f t="shared" si="7"/>
        <v>119.99999999999997</v>
      </c>
      <c r="L111" s="7" t="str" cm="1">
        <f t="array" ref="L111">_xlfn.SWITCH(J111,
  "Bentong Toll Plaza", "Short (0-50km)",
  "Karak Toll Plaza", "Short (0-50km)",
  "Lanchang Toll Plaza", "Medium (50-100km)",
  "Temerloh Toll Plaza", "Medium (50-100km)",
  "Chenor Toll Plaza", "Long (100-200km)",
  "Maran Toll Plaza", "Long (100-200km)",
  "Gambang Toll Plaza", "Long (100-200km)",
  "CHECK"
)</f>
        <v>Long (100-200km)</v>
      </c>
      <c r="M111" s="7" t="str">
        <f t="shared" si="6"/>
        <v>Off-Peak</v>
      </c>
      <c r="N111" s="7" t="str">
        <f t="shared" si="8"/>
        <v>Weekday</v>
      </c>
      <c r="O111" s="7">
        <f t="shared" si="9"/>
        <v>6</v>
      </c>
      <c r="P111" s="7" t="str">
        <f t="shared" si="10"/>
        <v>Mar</v>
      </c>
      <c r="Q111" s="6">
        <f t="shared" si="11"/>
        <v>100.00000000000003</v>
      </c>
    </row>
    <row r="112" spans="1:17" x14ac:dyDescent="0.25">
      <c r="A112" s="13" t="s">
        <v>125</v>
      </c>
      <c r="B112" s="15">
        <v>45411</v>
      </c>
      <c r="C112" s="16">
        <v>0.24666666666666667</v>
      </c>
      <c r="D112" s="13">
        <v>0.27791666666666665</v>
      </c>
      <c r="E112" s="13" t="s">
        <v>10</v>
      </c>
      <c r="F112" s="13" t="s">
        <v>11</v>
      </c>
      <c r="G112" s="13" t="s">
        <v>14</v>
      </c>
      <c r="H112" s="13" t="s">
        <v>13</v>
      </c>
      <c r="I112" s="13" t="s">
        <v>19</v>
      </c>
      <c r="J112" s="13" t="s">
        <v>22</v>
      </c>
      <c r="K112" s="6">
        <f t="shared" si="7"/>
        <v>44.999999999999957</v>
      </c>
      <c r="L112" s="7" t="str" cm="1">
        <f t="array" ref="L112">_xlfn.SWITCH(J112,
  "Bentong Toll Plaza", "Short (0-50km)",
  "Karak Toll Plaza", "Short (0-50km)",
  "Lanchang Toll Plaza", "Medium (50-100km)",
  "Temerloh Toll Plaza", "Medium (50-100km)",
  "Chenor Toll Plaza", "Long (100-200km)",
  "Maran Toll Plaza", "Long (100-200km)",
  "Gambang Toll Plaza", "Long (100-200km)",
  "CHECK"
)</f>
        <v>Short (0-50km)</v>
      </c>
      <c r="M112" s="7" t="str">
        <f t="shared" si="6"/>
        <v>Off-Peak</v>
      </c>
      <c r="N112" s="7" t="str">
        <f t="shared" si="8"/>
        <v>Weekday</v>
      </c>
      <c r="O112" s="7">
        <f t="shared" si="9"/>
        <v>5</v>
      </c>
      <c r="P112" s="7" t="str">
        <f t="shared" si="10"/>
        <v>Apr</v>
      </c>
      <c r="Q112" s="6">
        <f t="shared" si="11"/>
        <v>66.666666666666728</v>
      </c>
    </row>
    <row r="113" spans="1:17" x14ac:dyDescent="0.25">
      <c r="A113" s="13" t="s">
        <v>126</v>
      </c>
      <c r="B113" s="15">
        <v>45423</v>
      </c>
      <c r="C113" s="16">
        <v>0.59733796296296293</v>
      </c>
      <c r="D113" s="13">
        <v>0.6806712962962963</v>
      </c>
      <c r="E113" s="13" t="s">
        <v>15</v>
      </c>
      <c r="F113" s="13" t="s">
        <v>23</v>
      </c>
      <c r="G113" s="13" t="s">
        <v>12</v>
      </c>
      <c r="H113" s="13" t="s">
        <v>13</v>
      </c>
      <c r="I113" s="13" t="s">
        <v>19</v>
      </c>
      <c r="J113" s="13" t="s">
        <v>21</v>
      </c>
      <c r="K113" s="6">
        <f t="shared" si="7"/>
        <v>120.00000000000006</v>
      </c>
      <c r="L113" s="7" t="str" cm="1">
        <f t="array" ref="L113">_xlfn.SWITCH(J113,
  "Bentong Toll Plaza", "Short (0-50km)",
  "Karak Toll Plaza", "Short (0-50km)",
  "Lanchang Toll Plaza", "Medium (50-100km)",
  "Temerloh Toll Plaza", "Medium (50-100km)",
  "Chenor Toll Plaza", "Long (100-200km)",
  "Maran Toll Plaza", "Long (100-200km)",
  "Gambang Toll Plaza", "Long (100-200km)",
  "CHECK"
)</f>
        <v>Medium (50-100km)</v>
      </c>
      <c r="M113" s="7" t="str">
        <f t="shared" si="6"/>
        <v>Off-Peak</v>
      </c>
      <c r="N113" s="7" t="str">
        <f t="shared" si="8"/>
        <v>Weekend</v>
      </c>
      <c r="O113" s="7">
        <f t="shared" si="9"/>
        <v>14</v>
      </c>
      <c r="P113" s="7" t="str">
        <f t="shared" si="10"/>
        <v>May</v>
      </c>
      <c r="Q113" s="6">
        <f t="shared" si="11"/>
        <v>49.999999999999979</v>
      </c>
    </row>
    <row r="114" spans="1:17" x14ac:dyDescent="0.25">
      <c r="A114" s="13" t="s">
        <v>127</v>
      </c>
      <c r="B114" s="15">
        <v>45465</v>
      </c>
      <c r="C114" s="16">
        <v>0.30246527777777776</v>
      </c>
      <c r="D114" s="13">
        <v>0.33371527777777776</v>
      </c>
      <c r="E114" s="13" t="s">
        <v>10</v>
      </c>
      <c r="F114" s="13" t="s">
        <v>11</v>
      </c>
      <c r="G114" s="13" t="s">
        <v>16</v>
      </c>
      <c r="H114" s="13" t="s">
        <v>13</v>
      </c>
      <c r="I114" s="13" t="s">
        <v>19</v>
      </c>
      <c r="J114" s="13" t="s">
        <v>24</v>
      </c>
      <c r="K114" s="6">
        <f t="shared" si="7"/>
        <v>45</v>
      </c>
      <c r="L114" s="7" t="str" cm="1">
        <f t="array" ref="L114">_xlfn.SWITCH(J114,
  "Bentong Toll Plaza", "Short (0-50km)",
  "Karak Toll Plaza", "Short (0-50km)",
  "Lanchang Toll Plaza", "Medium (50-100km)",
  "Temerloh Toll Plaza", "Medium (50-100km)",
  "Chenor Toll Plaza", "Long (100-200km)",
  "Maran Toll Plaza", "Long (100-200km)",
  "Gambang Toll Plaza", "Long (100-200km)",
  "CHECK"
)</f>
        <v>Short (0-50km)</v>
      </c>
      <c r="M114" s="7" t="str">
        <f t="shared" si="6"/>
        <v>Peak</v>
      </c>
      <c r="N114" s="7" t="str">
        <f t="shared" si="8"/>
        <v>Weekend</v>
      </c>
      <c r="O114" s="7">
        <f t="shared" si="9"/>
        <v>7</v>
      </c>
      <c r="P114" s="7" t="str">
        <f t="shared" si="10"/>
        <v>Jun</v>
      </c>
      <c r="Q114" s="6">
        <f t="shared" si="11"/>
        <v>66.666666666666671</v>
      </c>
    </row>
    <row r="115" spans="1:17" x14ac:dyDescent="0.25">
      <c r="A115" s="13" t="s">
        <v>128</v>
      </c>
      <c r="B115" s="15">
        <v>45476</v>
      </c>
      <c r="C115" s="16">
        <v>0.40997685185185184</v>
      </c>
      <c r="D115" s="13">
        <v>0.49331018518518521</v>
      </c>
      <c r="E115" s="13" t="s">
        <v>17</v>
      </c>
      <c r="F115" s="13" t="s">
        <v>18</v>
      </c>
      <c r="G115" s="13" t="s">
        <v>14</v>
      </c>
      <c r="H115" s="13" t="s">
        <v>13</v>
      </c>
      <c r="I115" s="13" t="s">
        <v>19</v>
      </c>
      <c r="J115" s="13" t="s">
        <v>20</v>
      </c>
      <c r="K115" s="6">
        <f t="shared" si="7"/>
        <v>120.00000000000006</v>
      </c>
      <c r="L115" s="7" t="str" cm="1">
        <f t="array" ref="L115">_xlfn.SWITCH(J115,
  "Bentong Toll Plaza", "Short (0-50km)",
  "Karak Toll Plaza", "Short (0-50km)",
  "Lanchang Toll Plaza", "Medium (50-100km)",
  "Temerloh Toll Plaza", "Medium (50-100km)",
  "Chenor Toll Plaza", "Long (100-200km)",
  "Maran Toll Plaza", "Long (100-200km)",
  "Gambang Toll Plaza", "Long (100-200km)",
  "CHECK"
)</f>
        <v>Long (100-200km)</v>
      </c>
      <c r="M115" s="7" t="str">
        <f t="shared" si="6"/>
        <v>Off-Peak</v>
      </c>
      <c r="N115" s="7" t="str">
        <f t="shared" si="8"/>
        <v>Weekday</v>
      </c>
      <c r="O115" s="7">
        <f t="shared" si="9"/>
        <v>9</v>
      </c>
      <c r="P115" s="7" t="str">
        <f t="shared" si="10"/>
        <v>Jul</v>
      </c>
      <c r="Q115" s="6">
        <f t="shared" si="11"/>
        <v>99.999999999999957</v>
      </c>
    </row>
    <row r="116" spans="1:17" x14ac:dyDescent="0.25">
      <c r="A116" s="13" t="s">
        <v>129</v>
      </c>
      <c r="B116" s="15">
        <v>45518</v>
      </c>
      <c r="C116" s="16">
        <v>0.25885416666666666</v>
      </c>
      <c r="D116" s="13">
        <v>0.29010416666666666</v>
      </c>
      <c r="E116" s="13" t="s">
        <v>10</v>
      </c>
      <c r="F116" s="13" t="s">
        <v>11</v>
      </c>
      <c r="G116" s="13" t="s">
        <v>14</v>
      </c>
      <c r="H116" s="13" t="s">
        <v>13</v>
      </c>
      <c r="I116" s="13" t="s">
        <v>19</v>
      </c>
      <c r="J116" s="13" t="s">
        <v>22</v>
      </c>
      <c r="K116" s="6">
        <f t="shared" si="7"/>
        <v>45</v>
      </c>
      <c r="L116" s="7" t="str" cm="1">
        <f t="array" ref="L116">_xlfn.SWITCH(J116,
  "Bentong Toll Plaza", "Short (0-50km)",
  "Karak Toll Plaza", "Short (0-50km)",
  "Lanchang Toll Plaza", "Medium (50-100km)",
  "Temerloh Toll Plaza", "Medium (50-100km)",
  "Chenor Toll Plaza", "Long (100-200km)",
  "Maran Toll Plaza", "Long (100-200km)",
  "Gambang Toll Plaza", "Long (100-200km)",
  "CHECK"
)</f>
        <v>Short (0-50km)</v>
      </c>
      <c r="M116" s="7" t="str">
        <f t="shared" si="6"/>
        <v>Off-Peak</v>
      </c>
      <c r="N116" s="7" t="str">
        <f t="shared" si="8"/>
        <v>Weekday</v>
      </c>
      <c r="O116" s="7">
        <f t="shared" si="9"/>
        <v>6</v>
      </c>
      <c r="P116" s="7" t="str">
        <f t="shared" si="10"/>
        <v>Aug</v>
      </c>
      <c r="Q116" s="6">
        <f t="shared" si="11"/>
        <v>66.666666666666671</v>
      </c>
    </row>
    <row r="117" spans="1:17" x14ac:dyDescent="0.25">
      <c r="A117" s="13" t="s">
        <v>130</v>
      </c>
      <c r="B117" s="15">
        <v>45560</v>
      </c>
      <c r="C117" s="16">
        <v>0.71218749999999997</v>
      </c>
      <c r="D117" s="13">
        <v>0.79552083333333334</v>
      </c>
      <c r="E117" s="13" t="s">
        <v>15</v>
      </c>
      <c r="F117" s="13" t="s">
        <v>23</v>
      </c>
      <c r="G117" s="13" t="s">
        <v>12</v>
      </c>
      <c r="H117" s="13" t="s">
        <v>13</v>
      </c>
      <c r="I117" s="13" t="s">
        <v>19</v>
      </c>
      <c r="J117" s="13" t="s">
        <v>21</v>
      </c>
      <c r="K117" s="6">
        <f t="shared" si="7"/>
        <v>120.00000000000006</v>
      </c>
      <c r="L117" s="7" t="str" cm="1">
        <f t="array" ref="L117">_xlfn.SWITCH(J117,
  "Bentong Toll Plaza", "Short (0-50km)",
  "Karak Toll Plaza", "Short (0-50km)",
  "Lanchang Toll Plaza", "Medium (50-100km)",
  "Temerloh Toll Plaza", "Medium (50-100km)",
  "Chenor Toll Plaza", "Long (100-200km)",
  "Maran Toll Plaza", "Long (100-200km)",
  "Gambang Toll Plaza", "Long (100-200km)",
  "CHECK"
)</f>
        <v>Medium (50-100km)</v>
      </c>
      <c r="M117" s="7" t="str">
        <f t="shared" si="6"/>
        <v>Peak</v>
      </c>
      <c r="N117" s="7" t="str">
        <f t="shared" si="8"/>
        <v>Weekday</v>
      </c>
      <c r="O117" s="7">
        <f t="shared" si="9"/>
        <v>17</v>
      </c>
      <c r="P117" s="7" t="str">
        <f t="shared" si="10"/>
        <v>Sep</v>
      </c>
      <c r="Q117" s="6">
        <f t="shared" si="11"/>
        <v>49.999999999999979</v>
      </c>
    </row>
    <row r="118" spans="1:17" x14ac:dyDescent="0.25">
      <c r="A118" s="13" t="s">
        <v>131</v>
      </c>
      <c r="B118" s="15">
        <v>45571</v>
      </c>
      <c r="C118" s="16">
        <v>0.521087962962963</v>
      </c>
      <c r="D118" s="13">
        <v>0.552337962962963</v>
      </c>
      <c r="E118" s="13" t="s">
        <v>10</v>
      </c>
      <c r="F118" s="13" t="s">
        <v>11</v>
      </c>
      <c r="G118" s="13" t="s">
        <v>16</v>
      </c>
      <c r="H118" s="13" t="s">
        <v>13</v>
      </c>
      <c r="I118" s="13" t="s">
        <v>19</v>
      </c>
      <c r="J118" s="13" t="s">
        <v>24</v>
      </c>
      <c r="K118" s="6">
        <f t="shared" si="7"/>
        <v>45</v>
      </c>
      <c r="L118" s="7" t="str" cm="1">
        <f t="array" ref="L118">_xlfn.SWITCH(J118,
  "Bentong Toll Plaza", "Short (0-50km)",
  "Karak Toll Plaza", "Short (0-50km)",
  "Lanchang Toll Plaza", "Medium (50-100km)",
  "Temerloh Toll Plaza", "Medium (50-100km)",
  "Chenor Toll Plaza", "Long (100-200km)",
  "Maran Toll Plaza", "Long (100-200km)",
  "Gambang Toll Plaza", "Long (100-200km)",
  "CHECK"
)</f>
        <v>Short (0-50km)</v>
      </c>
      <c r="M118" s="7" t="str">
        <f t="shared" si="6"/>
        <v>Off-Peak</v>
      </c>
      <c r="N118" s="7" t="str">
        <f t="shared" si="8"/>
        <v>Weekend</v>
      </c>
      <c r="O118" s="7">
        <f t="shared" si="9"/>
        <v>12</v>
      </c>
      <c r="P118" s="7" t="str">
        <f t="shared" si="10"/>
        <v>Oct</v>
      </c>
      <c r="Q118" s="6">
        <f t="shared" si="11"/>
        <v>66.666666666666671</v>
      </c>
    </row>
    <row r="119" spans="1:17" x14ac:dyDescent="0.25">
      <c r="A119" s="13" t="s">
        <v>132</v>
      </c>
      <c r="B119" s="15">
        <v>45613</v>
      </c>
      <c r="C119" s="16">
        <v>0.30914351851851851</v>
      </c>
      <c r="D119" s="13">
        <v>0.39247685185185183</v>
      </c>
      <c r="E119" s="13" t="s">
        <v>17</v>
      </c>
      <c r="F119" s="13" t="s">
        <v>18</v>
      </c>
      <c r="G119" s="13" t="s">
        <v>16</v>
      </c>
      <c r="H119" s="13" t="s">
        <v>13</v>
      </c>
      <c r="I119" s="13" t="s">
        <v>19</v>
      </c>
      <c r="J119" s="13" t="s">
        <v>20</v>
      </c>
      <c r="K119" s="6">
        <f t="shared" si="7"/>
        <v>119.99999999999997</v>
      </c>
      <c r="L119" s="7" t="str" cm="1">
        <f t="array" ref="L119">_xlfn.SWITCH(J119,
  "Bentong Toll Plaza", "Short (0-50km)",
  "Karak Toll Plaza", "Short (0-50km)",
  "Lanchang Toll Plaza", "Medium (50-100km)",
  "Temerloh Toll Plaza", "Medium (50-100km)",
  "Chenor Toll Plaza", "Long (100-200km)",
  "Maran Toll Plaza", "Long (100-200km)",
  "Gambang Toll Plaza", "Long (100-200km)",
  "CHECK"
)</f>
        <v>Long (100-200km)</v>
      </c>
      <c r="M119" s="7" t="str">
        <f t="shared" si="6"/>
        <v>Peak</v>
      </c>
      <c r="N119" s="7" t="str">
        <f t="shared" si="8"/>
        <v>Weekend</v>
      </c>
      <c r="O119" s="7">
        <f t="shared" si="9"/>
        <v>7</v>
      </c>
      <c r="P119" s="7" t="str">
        <f t="shared" si="10"/>
        <v>Nov</v>
      </c>
      <c r="Q119" s="6">
        <f t="shared" si="11"/>
        <v>100.00000000000003</v>
      </c>
    </row>
    <row r="120" spans="1:17" x14ac:dyDescent="0.25">
      <c r="A120" s="13" t="s">
        <v>133</v>
      </c>
      <c r="B120" s="15">
        <v>45654</v>
      </c>
      <c r="C120" s="16">
        <v>0.23302083333333334</v>
      </c>
      <c r="D120" s="13">
        <v>0.26427083333333334</v>
      </c>
      <c r="E120" s="13" t="s">
        <v>10</v>
      </c>
      <c r="F120" s="13" t="s">
        <v>11</v>
      </c>
      <c r="G120" s="13" t="s">
        <v>14</v>
      </c>
      <c r="H120" s="13" t="s">
        <v>13</v>
      </c>
      <c r="I120" s="13" t="s">
        <v>19</v>
      </c>
      <c r="J120" s="13" t="s">
        <v>22</v>
      </c>
      <c r="K120" s="6">
        <f t="shared" si="7"/>
        <v>45</v>
      </c>
      <c r="L120" s="7" t="str" cm="1">
        <f t="array" ref="L120">_xlfn.SWITCH(J120,
  "Bentong Toll Plaza", "Short (0-50km)",
  "Karak Toll Plaza", "Short (0-50km)",
  "Lanchang Toll Plaza", "Medium (50-100km)",
  "Temerloh Toll Plaza", "Medium (50-100km)",
  "Chenor Toll Plaza", "Long (100-200km)",
  "Maran Toll Plaza", "Long (100-200km)",
  "Gambang Toll Plaza", "Long (100-200km)",
  "CHECK"
)</f>
        <v>Short (0-50km)</v>
      </c>
      <c r="M120" s="7" t="str">
        <f t="shared" si="6"/>
        <v>Off-Peak</v>
      </c>
      <c r="N120" s="7" t="str">
        <f t="shared" si="8"/>
        <v>Weekend</v>
      </c>
      <c r="O120" s="7">
        <f t="shared" si="9"/>
        <v>5</v>
      </c>
      <c r="P120" s="7" t="str">
        <f t="shared" si="10"/>
        <v>Dec</v>
      </c>
      <c r="Q120" s="6">
        <f t="shared" si="11"/>
        <v>66.666666666666671</v>
      </c>
    </row>
    <row r="121" spans="1:17" x14ac:dyDescent="0.25">
      <c r="A121" s="13" t="s">
        <v>134</v>
      </c>
      <c r="B121" s="15">
        <v>45300</v>
      </c>
      <c r="C121" s="16">
        <v>0.5904166666666667</v>
      </c>
      <c r="D121" s="13">
        <v>0.67374999999999996</v>
      </c>
      <c r="E121" s="13" t="s">
        <v>15</v>
      </c>
      <c r="F121" s="13" t="s">
        <v>23</v>
      </c>
      <c r="G121" s="13" t="s">
        <v>12</v>
      </c>
      <c r="H121" s="13" t="s">
        <v>13</v>
      </c>
      <c r="I121" s="13" t="s">
        <v>19</v>
      </c>
      <c r="J121" s="13" t="s">
        <v>21</v>
      </c>
      <c r="K121" s="6">
        <f t="shared" si="7"/>
        <v>119.99999999999989</v>
      </c>
      <c r="L121" s="7" t="str" cm="1">
        <f t="array" ref="L121">_xlfn.SWITCH(J121,
  "Bentong Toll Plaza", "Short (0-50km)",
  "Karak Toll Plaza", "Short (0-50km)",
  "Lanchang Toll Plaza", "Medium (50-100km)",
  "Temerloh Toll Plaza", "Medium (50-100km)",
  "Chenor Toll Plaza", "Long (100-200km)",
  "Maran Toll Plaza", "Long (100-200km)",
  "Gambang Toll Plaza", "Long (100-200km)",
  "CHECK"
)</f>
        <v>Medium (50-100km)</v>
      </c>
      <c r="M121" s="7" t="str">
        <f t="shared" si="6"/>
        <v>Off-Peak</v>
      </c>
      <c r="N121" s="7" t="str">
        <f t="shared" si="8"/>
        <v>Weekday</v>
      </c>
      <c r="O121" s="7">
        <f t="shared" si="9"/>
        <v>14</v>
      </c>
      <c r="P121" s="7" t="str">
        <f t="shared" si="10"/>
        <v>Jan</v>
      </c>
      <c r="Q121" s="6">
        <f t="shared" si="11"/>
        <v>50.00000000000005</v>
      </c>
    </row>
    <row r="122" spans="1:17" x14ac:dyDescent="0.25">
      <c r="A122" s="13" t="s">
        <v>156</v>
      </c>
      <c r="B122" s="15">
        <v>45294</v>
      </c>
      <c r="C122" s="16">
        <v>0.26055555555555554</v>
      </c>
      <c r="D122" s="39">
        <v>0.29180555555555554</v>
      </c>
      <c r="E122" s="13" t="s">
        <v>10</v>
      </c>
      <c r="F122" s="13" t="s">
        <v>11</v>
      </c>
      <c r="G122" s="13" t="s">
        <v>16</v>
      </c>
      <c r="H122" s="13" t="s">
        <v>13</v>
      </c>
      <c r="I122" s="13" t="s">
        <v>19</v>
      </c>
      <c r="J122" s="13" t="s">
        <v>22</v>
      </c>
      <c r="K122" s="6">
        <f t="shared" ref="K122:K153" si="12">IF(D122&lt;C122, ((D122+1)-C122)*1440, (D122-C122)*1440)</f>
        <v>45</v>
      </c>
      <c r="L122" s="7" t="str" cm="1">
        <f t="array" ref="L122">_xlfn.SWITCH(J122,
  "Bentong Toll Plaza", "Short (0-50km)",
  "Karak Toll Plaza", "Short (0-50km)",
  "Lanchang Toll Plaza", "Medium (50-100km)",
  "Temerloh Toll Plaza", "Medium (50-100km)",
  "Chenor Toll Plaza", "Long (100-200km)",
  "Maran Toll Plaza", "Long (100-200km)",
  "Gambang Toll Plaza", "Long (100-200km)",
  "CHECK"
)</f>
        <v>Short (0-50km)</v>
      </c>
      <c r="M122" s="7" t="str">
        <f t="shared" ref="M122:M153" si="13">IF(OR(
    AND(MOD(C122,1)&gt;=TIME(7,0,0), MOD(C122,1)&lt;=TIME(9,0,0)),
    AND(MOD(C122,1)&gt;=TIME(17,0,0), MOD(C122,1)&lt;=TIME(19,0,0))
), "Peak", "Off-Peak")</f>
        <v>Off-Peak</v>
      </c>
      <c r="N122" s="7" t="str">
        <f t="shared" ref="N122:N153" si="14">IF(WEEKDAY(B122,2)&gt;=6, "Weekend", "Weekday")</f>
        <v>Weekday</v>
      </c>
      <c r="O122" s="7">
        <f t="shared" ref="O122:O153" si="15">HOUR(C122)</f>
        <v>6</v>
      </c>
      <c r="P122" s="7" t="str">
        <f t="shared" ref="P122:P153" si="16">TEXT(B122,"mmm")</f>
        <v>Jan</v>
      </c>
      <c r="Q122" s="6">
        <f t="shared" ref="Q122:Q153" si="17">IF(L122="Short (0-50km)", (50/(K122/60)),
 IF(L122="Medium (50-100km)", (100/(K122/60)),
 IF(L122="Long (100-200km)", (200/(K122/60)),
 "Invalid")))</f>
        <v>66.666666666666671</v>
      </c>
    </row>
    <row r="123" spans="1:17" x14ac:dyDescent="0.25">
      <c r="A123" s="13" t="s">
        <v>157</v>
      </c>
      <c r="B123" s="15">
        <v>45305</v>
      </c>
      <c r="C123" s="16">
        <v>0.35468749999999999</v>
      </c>
      <c r="D123" s="39">
        <v>0.43802083333333336</v>
      </c>
      <c r="E123" s="13" t="s">
        <v>17</v>
      </c>
      <c r="F123" s="13" t="s">
        <v>18</v>
      </c>
      <c r="G123" s="13" t="s">
        <v>14</v>
      </c>
      <c r="H123" s="13" t="s">
        <v>13</v>
      </c>
      <c r="I123" s="13" t="s">
        <v>19</v>
      </c>
      <c r="J123" s="13" t="s">
        <v>20</v>
      </c>
      <c r="K123" s="6">
        <f t="shared" si="12"/>
        <v>120.00000000000006</v>
      </c>
      <c r="L123" s="7" t="str" cm="1">
        <f t="array" ref="L123">_xlfn.SWITCH(J123,
  "Bentong Toll Plaza", "Short (0-50km)",
  "Karak Toll Plaza", "Short (0-50km)",
  "Lanchang Toll Plaza", "Medium (50-100km)",
  "Temerloh Toll Plaza", "Medium (50-100km)",
  "Chenor Toll Plaza", "Long (100-200km)",
  "Maran Toll Plaza", "Long (100-200km)",
  "Gambang Toll Plaza", "Long (100-200km)",
  "CHECK"
)</f>
        <v>Long (100-200km)</v>
      </c>
      <c r="M123" s="7" t="str">
        <f t="shared" si="13"/>
        <v>Peak</v>
      </c>
      <c r="N123" s="7" t="str">
        <f t="shared" si="14"/>
        <v>Weekend</v>
      </c>
      <c r="O123" s="7">
        <f t="shared" si="15"/>
        <v>8</v>
      </c>
      <c r="P123" s="7" t="str">
        <f t="shared" si="16"/>
        <v>Jan</v>
      </c>
      <c r="Q123" s="6">
        <f t="shared" si="17"/>
        <v>99.999999999999957</v>
      </c>
    </row>
    <row r="124" spans="1:17" x14ac:dyDescent="0.25">
      <c r="A124" s="13" t="s">
        <v>158</v>
      </c>
      <c r="B124" s="15">
        <v>45316</v>
      </c>
      <c r="C124" s="16">
        <v>0.71206018518518521</v>
      </c>
      <c r="D124" s="39">
        <v>0.79539351851851847</v>
      </c>
      <c r="E124" s="13" t="s">
        <v>15</v>
      </c>
      <c r="F124" s="13" t="s">
        <v>23</v>
      </c>
      <c r="G124" s="13" t="s">
        <v>12</v>
      </c>
      <c r="H124" s="13" t="s">
        <v>13</v>
      </c>
      <c r="I124" s="13" t="s">
        <v>19</v>
      </c>
      <c r="J124" s="13" t="s">
        <v>21</v>
      </c>
      <c r="K124" s="6">
        <f t="shared" si="12"/>
        <v>119.99999999999989</v>
      </c>
      <c r="L124" s="7" t="str" cm="1">
        <f t="array" ref="L124">_xlfn.SWITCH(J124,
  "Bentong Toll Plaza", "Short (0-50km)",
  "Karak Toll Plaza", "Short (0-50km)",
  "Lanchang Toll Plaza", "Medium (50-100km)",
  "Temerloh Toll Plaza", "Medium (50-100km)",
  "Chenor Toll Plaza", "Long (100-200km)",
  "Maran Toll Plaza", "Long (100-200km)",
  "Gambang Toll Plaza", "Long (100-200km)",
  "CHECK"
)</f>
        <v>Medium (50-100km)</v>
      </c>
      <c r="M124" s="7" t="str">
        <f t="shared" si="13"/>
        <v>Peak</v>
      </c>
      <c r="N124" s="7" t="str">
        <f t="shared" si="14"/>
        <v>Weekday</v>
      </c>
      <c r="O124" s="7">
        <f t="shared" si="15"/>
        <v>17</v>
      </c>
      <c r="P124" s="7" t="str">
        <f t="shared" si="16"/>
        <v>Jan</v>
      </c>
      <c r="Q124" s="6">
        <f t="shared" si="17"/>
        <v>50.00000000000005</v>
      </c>
    </row>
    <row r="125" spans="1:17" x14ac:dyDescent="0.25">
      <c r="A125" s="13" t="s">
        <v>159</v>
      </c>
      <c r="B125" s="15">
        <v>45328</v>
      </c>
      <c r="C125" s="16">
        <v>0.53483796296296293</v>
      </c>
      <c r="D125" s="39">
        <v>0.56608796296296293</v>
      </c>
      <c r="E125" s="13" t="s">
        <v>10</v>
      </c>
      <c r="F125" s="13" t="s">
        <v>11</v>
      </c>
      <c r="G125" s="13" t="s">
        <v>16</v>
      </c>
      <c r="H125" s="13" t="s">
        <v>13</v>
      </c>
      <c r="I125" s="13" t="s">
        <v>19</v>
      </c>
      <c r="J125" s="13" t="s">
        <v>24</v>
      </c>
      <c r="K125" s="6">
        <f t="shared" si="12"/>
        <v>45</v>
      </c>
      <c r="L125" s="7" t="str" cm="1">
        <f t="array" ref="L125">_xlfn.SWITCH(J125,
  "Bentong Toll Plaza", "Short (0-50km)",
  "Karak Toll Plaza", "Short (0-50km)",
  "Lanchang Toll Plaza", "Medium (50-100km)",
  "Temerloh Toll Plaza", "Medium (50-100km)",
  "Chenor Toll Plaza", "Long (100-200km)",
  "Maran Toll Plaza", "Long (100-200km)",
  "Gambang Toll Plaza", "Long (100-200km)",
  "CHECK"
)</f>
        <v>Short (0-50km)</v>
      </c>
      <c r="M125" s="7" t="str">
        <f t="shared" si="13"/>
        <v>Off-Peak</v>
      </c>
      <c r="N125" s="7" t="str">
        <f t="shared" si="14"/>
        <v>Weekday</v>
      </c>
      <c r="O125" s="7">
        <f t="shared" si="15"/>
        <v>12</v>
      </c>
      <c r="P125" s="7" t="str">
        <f t="shared" si="16"/>
        <v>Feb</v>
      </c>
      <c r="Q125" s="6">
        <f t="shared" si="17"/>
        <v>66.666666666666671</v>
      </c>
    </row>
    <row r="126" spans="1:17" x14ac:dyDescent="0.25">
      <c r="A126" s="13" t="s">
        <v>160</v>
      </c>
      <c r="B126" s="15">
        <v>45340</v>
      </c>
      <c r="C126" s="16">
        <v>0.30246527777777776</v>
      </c>
      <c r="D126" s="39">
        <v>0.33371527777777776</v>
      </c>
      <c r="E126" s="13" t="s">
        <v>10</v>
      </c>
      <c r="F126" s="13" t="s">
        <v>11</v>
      </c>
      <c r="G126" s="13" t="s">
        <v>14</v>
      </c>
      <c r="H126" s="13" t="s">
        <v>13</v>
      </c>
      <c r="I126" s="13" t="s">
        <v>19</v>
      </c>
      <c r="J126" s="13" t="s">
        <v>22</v>
      </c>
      <c r="K126" s="6">
        <f t="shared" si="12"/>
        <v>45</v>
      </c>
      <c r="L126" s="7" t="str" cm="1">
        <f t="array" ref="L126">_xlfn.SWITCH(J126,
  "Bentong Toll Plaza", "Short (0-50km)",
  "Karak Toll Plaza", "Short (0-50km)",
  "Lanchang Toll Plaza", "Medium (50-100km)",
  "Temerloh Toll Plaza", "Medium (50-100km)",
  "Chenor Toll Plaza", "Long (100-200km)",
  "Maran Toll Plaza", "Long (100-200km)",
  "Gambang Toll Plaza", "Long (100-200km)",
  "CHECK"
)</f>
        <v>Short (0-50km)</v>
      </c>
      <c r="M126" s="7" t="str">
        <f t="shared" si="13"/>
        <v>Peak</v>
      </c>
      <c r="N126" s="7" t="str">
        <f t="shared" si="14"/>
        <v>Weekend</v>
      </c>
      <c r="O126" s="7">
        <f t="shared" si="15"/>
        <v>7</v>
      </c>
      <c r="P126" s="7" t="str">
        <f t="shared" si="16"/>
        <v>Feb</v>
      </c>
      <c r="Q126" s="6">
        <f t="shared" si="17"/>
        <v>66.666666666666671</v>
      </c>
    </row>
    <row r="127" spans="1:17" x14ac:dyDescent="0.25">
      <c r="A127" s="13" t="s">
        <v>161</v>
      </c>
      <c r="B127" s="15">
        <v>45350</v>
      </c>
      <c r="C127" s="16">
        <v>0.37861111111111112</v>
      </c>
      <c r="D127" s="39">
        <v>0.46194444444444444</v>
      </c>
      <c r="E127" s="13" t="s">
        <v>17</v>
      </c>
      <c r="F127" s="13" t="s">
        <v>18</v>
      </c>
      <c r="G127" s="13" t="s">
        <v>16</v>
      </c>
      <c r="H127" s="13" t="s">
        <v>13</v>
      </c>
      <c r="I127" s="13" t="s">
        <v>19</v>
      </c>
      <c r="J127" s="13" t="s">
        <v>20</v>
      </c>
      <c r="K127" s="6">
        <f t="shared" si="12"/>
        <v>119.99999999999997</v>
      </c>
      <c r="L127" s="7" t="str" cm="1">
        <f t="array" ref="L127">_xlfn.SWITCH(J127,
  "Bentong Toll Plaza", "Short (0-50km)",
  "Karak Toll Plaza", "Short (0-50km)",
  "Lanchang Toll Plaza", "Medium (50-100km)",
  "Temerloh Toll Plaza", "Medium (50-100km)",
  "Chenor Toll Plaza", "Long (100-200km)",
  "Maran Toll Plaza", "Long (100-200km)",
  "Gambang Toll Plaza", "Long (100-200km)",
  "CHECK"
)</f>
        <v>Long (100-200km)</v>
      </c>
      <c r="M127" s="7" t="str">
        <f t="shared" si="13"/>
        <v>Off-Peak</v>
      </c>
      <c r="N127" s="7" t="str">
        <f t="shared" si="14"/>
        <v>Weekday</v>
      </c>
      <c r="O127" s="7">
        <f t="shared" si="15"/>
        <v>9</v>
      </c>
      <c r="P127" s="7" t="str">
        <f t="shared" si="16"/>
        <v>Feb</v>
      </c>
      <c r="Q127" s="6">
        <f t="shared" si="17"/>
        <v>100.00000000000003</v>
      </c>
    </row>
    <row r="128" spans="1:17" x14ac:dyDescent="0.25">
      <c r="A128" s="13" t="s">
        <v>162</v>
      </c>
      <c r="B128" s="15">
        <v>45362</v>
      </c>
      <c r="C128" s="16">
        <v>0.2434375</v>
      </c>
      <c r="D128" s="39">
        <v>0.32677083333333334</v>
      </c>
      <c r="E128" s="13" t="s">
        <v>15</v>
      </c>
      <c r="F128" s="13" t="s">
        <v>23</v>
      </c>
      <c r="G128" s="13" t="s">
        <v>12</v>
      </c>
      <c r="H128" s="13" t="s">
        <v>13</v>
      </c>
      <c r="I128" s="13" t="s">
        <v>19</v>
      </c>
      <c r="J128" s="13" t="s">
        <v>21</v>
      </c>
      <c r="K128" s="6">
        <f t="shared" si="12"/>
        <v>120.00000000000001</v>
      </c>
      <c r="L128" s="7" t="str" cm="1">
        <f t="array" ref="L128">_xlfn.SWITCH(J128,
  "Bentong Toll Plaza", "Short (0-50km)",
  "Karak Toll Plaza", "Short (0-50km)",
  "Lanchang Toll Plaza", "Medium (50-100km)",
  "Temerloh Toll Plaza", "Medium (50-100km)",
  "Chenor Toll Plaza", "Long (100-200km)",
  "Maran Toll Plaza", "Long (100-200km)",
  "Gambang Toll Plaza", "Long (100-200km)",
  "CHECK"
)</f>
        <v>Medium (50-100km)</v>
      </c>
      <c r="M128" s="7" t="str">
        <f t="shared" si="13"/>
        <v>Off-Peak</v>
      </c>
      <c r="N128" s="7" t="str">
        <f t="shared" si="14"/>
        <v>Weekday</v>
      </c>
      <c r="O128" s="7">
        <f t="shared" si="15"/>
        <v>5</v>
      </c>
      <c r="P128" s="7" t="str">
        <f t="shared" si="16"/>
        <v>Mar</v>
      </c>
      <c r="Q128" s="6">
        <f t="shared" si="17"/>
        <v>49.999999999999986</v>
      </c>
    </row>
    <row r="129" spans="1:17" x14ac:dyDescent="0.25">
      <c r="A129" s="13" t="s">
        <v>163</v>
      </c>
      <c r="B129" s="15">
        <v>45373</v>
      </c>
      <c r="C129" s="16">
        <v>0.26761574074074074</v>
      </c>
      <c r="D129" s="39">
        <v>0.29886574074074074</v>
      </c>
      <c r="E129" s="13" t="s">
        <v>10</v>
      </c>
      <c r="F129" s="13" t="s">
        <v>11</v>
      </c>
      <c r="G129" s="13" t="s">
        <v>14</v>
      </c>
      <c r="H129" s="13" t="s">
        <v>13</v>
      </c>
      <c r="I129" s="13" t="s">
        <v>19</v>
      </c>
      <c r="J129" s="13" t="s">
        <v>24</v>
      </c>
      <c r="K129" s="6">
        <f t="shared" si="12"/>
        <v>45</v>
      </c>
      <c r="L129" s="7" t="str" cm="1">
        <f t="array" ref="L129">_xlfn.SWITCH(J129,
  "Bentong Toll Plaza", "Short (0-50km)",
  "Karak Toll Plaza", "Short (0-50km)",
  "Lanchang Toll Plaza", "Medium (50-100km)",
  "Temerloh Toll Plaza", "Medium (50-100km)",
  "Chenor Toll Plaza", "Long (100-200km)",
  "Maran Toll Plaza", "Long (100-200km)",
  "Gambang Toll Plaza", "Long (100-200km)",
  "CHECK"
)</f>
        <v>Short (0-50km)</v>
      </c>
      <c r="M129" s="7" t="str">
        <f t="shared" si="13"/>
        <v>Off-Peak</v>
      </c>
      <c r="N129" s="7" t="str">
        <f t="shared" si="14"/>
        <v>Weekday</v>
      </c>
      <c r="O129" s="7">
        <f t="shared" si="15"/>
        <v>6</v>
      </c>
      <c r="P129" s="7" t="str">
        <f t="shared" si="16"/>
        <v>Mar</v>
      </c>
      <c r="Q129" s="6">
        <f t="shared" si="17"/>
        <v>66.666666666666671</v>
      </c>
    </row>
    <row r="130" spans="1:17" x14ac:dyDescent="0.25">
      <c r="A130" s="13" t="s">
        <v>164</v>
      </c>
      <c r="B130" s="15">
        <v>45385</v>
      </c>
      <c r="C130" s="16">
        <v>0.55052083333333335</v>
      </c>
      <c r="D130" s="39">
        <v>0.58177083333333335</v>
      </c>
      <c r="E130" s="13" t="s">
        <v>10</v>
      </c>
      <c r="F130" s="13" t="s">
        <v>11</v>
      </c>
      <c r="G130" s="13" t="s">
        <v>16</v>
      </c>
      <c r="H130" s="13" t="s">
        <v>13</v>
      </c>
      <c r="I130" s="13" t="s">
        <v>19</v>
      </c>
      <c r="J130" s="13" t="s">
        <v>22</v>
      </c>
      <c r="K130" s="6">
        <f t="shared" si="12"/>
        <v>45</v>
      </c>
      <c r="L130" s="7" t="str" cm="1">
        <f t="array" ref="L130">_xlfn.SWITCH(J130,
  "Bentong Toll Plaza", "Short (0-50km)",
  "Karak Toll Plaza", "Short (0-50km)",
  "Lanchang Toll Plaza", "Medium (50-100km)",
  "Temerloh Toll Plaza", "Medium (50-100km)",
  "Chenor Toll Plaza", "Long (100-200km)",
  "Maran Toll Plaza", "Long (100-200km)",
  "Gambang Toll Plaza", "Long (100-200km)",
  "CHECK"
)</f>
        <v>Short (0-50km)</v>
      </c>
      <c r="M130" s="7" t="str">
        <f t="shared" si="13"/>
        <v>Off-Peak</v>
      </c>
      <c r="N130" s="7" t="str">
        <f t="shared" si="14"/>
        <v>Weekday</v>
      </c>
      <c r="O130" s="7">
        <f t="shared" si="15"/>
        <v>13</v>
      </c>
      <c r="P130" s="7" t="str">
        <f t="shared" si="16"/>
        <v>Apr</v>
      </c>
      <c r="Q130" s="6">
        <f t="shared" si="17"/>
        <v>66.666666666666671</v>
      </c>
    </row>
    <row r="131" spans="1:17" x14ac:dyDescent="0.25">
      <c r="A131" s="13" t="s">
        <v>165</v>
      </c>
      <c r="B131" s="15">
        <v>45396</v>
      </c>
      <c r="C131" s="16">
        <v>0.4445601851851852</v>
      </c>
      <c r="D131" s="39">
        <v>0.52789351851851851</v>
      </c>
      <c r="E131" s="13" t="s">
        <v>17</v>
      </c>
      <c r="F131" s="13" t="s">
        <v>18</v>
      </c>
      <c r="G131" s="13" t="s">
        <v>14</v>
      </c>
      <c r="H131" s="13" t="s">
        <v>13</v>
      </c>
      <c r="I131" s="13" t="s">
        <v>19</v>
      </c>
      <c r="J131" s="13" t="s">
        <v>20</v>
      </c>
      <c r="K131" s="6">
        <f t="shared" si="12"/>
        <v>119.99999999999997</v>
      </c>
      <c r="L131" s="7" t="str" cm="1">
        <f t="array" ref="L131">_xlfn.SWITCH(J131,
  "Bentong Toll Plaza", "Short (0-50km)",
  "Karak Toll Plaza", "Short (0-50km)",
  "Lanchang Toll Plaza", "Medium (50-100km)",
  "Temerloh Toll Plaza", "Medium (50-100km)",
  "Chenor Toll Plaza", "Long (100-200km)",
  "Maran Toll Plaza", "Long (100-200km)",
  "Gambang Toll Plaza", "Long (100-200km)",
  "CHECK"
)</f>
        <v>Long (100-200km)</v>
      </c>
      <c r="M131" s="7" t="str">
        <f t="shared" si="13"/>
        <v>Off-Peak</v>
      </c>
      <c r="N131" s="7" t="str">
        <f t="shared" si="14"/>
        <v>Weekend</v>
      </c>
      <c r="O131" s="7">
        <f t="shared" si="15"/>
        <v>10</v>
      </c>
      <c r="P131" s="7" t="str">
        <f t="shared" si="16"/>
        <v>Apr</v>
      </c>
      <c r="Q131" s="6">
        <f t="shared" si="17"/>
        <v>100.00000000000003</v>
      </c>
    </row>
    <row r="132" spans="1:17" x14ac:dyDescent="0.25">
      <c r="A132" s="13" t="s">
        <v>166</v>
      </c>
      <c r="B132" s="15">
        <v>45407</v>
      </c>
      <c r="C132" s="16">
        <v>0.33718749999999997</v>
      </c>
      <c r="D132" s="39">
        <v>0.36843749999999997</v>
      </c>
      <c r="E132" s="13" t="s">
        <v>10</v>
      </c>
      <c r="F132" s="13" t="s">
        <v>11</v>
      </c>
      <c r="G132" s="13" t="s">
        <v>14</v>
      </c>
      <c r="H132" s="13" t="s">
        <v>13</v>
      </c>
      <c r="I132" s="13" t="s">
        <v>19</v>
      </c>
      <c r="J132" s="13" t="s">
        <v>24</v>
      </c>
      <c r="K132" s="6">
        <f t="shared" si="12"/>
        <v>45</v>
      </c>
      <c r="L132" s="7" t="str" cm="1">
        <f t="array" ref="L132">_xlfn.SWITCH(J132,
  "Bentong Toll Plaza", "Short (0-50km)",
  "Karak Toll Plaza", "Short (0-50km)",
  "Lanchang Toll Plaza", "Medium (50-100km)",
  "Temerloh Toll Plaza", "Medium (50-100km)",
  "Chenor Toll Plaza", "Long (100-200km)",
  "Maran Toll Plaza", "Long (100-200km)",
  "Gambang Toll Plaza", "Long (100-200km)",
  "CHECK"
)</f>
        <v>Short (0-50km)</v>
      </c>
      <c r="M132" s="7" t="str">
        <f t="shared" si="13"/>
        <v>Peak</v>
      </c>
      <c r="N132" s="7" t="str">
        <f t="shared" si="14"/>
        <v>Weekday</v>
      </c>
      <c r="O132" s="7">
        <f t="shared" si="15"/>
        <v>8</v>
      </c>
      <c r="P132" s="7" t="str">
        <f t="shared" si="16"/>
        <v>Apr</v>
      </c>
      <c r="Q132" s="6">
        <f t="shared" si="17"/>
        <v>66.666666666666671</v>
      </c>
    </row>
    <row r="133" spans="1:17" x14ac:dyDescent="0.25">
      <c r="A133" s="13" t="s">
        <v>167</v>
      </c>
      <c r="B133" s="15">
        <v>45418</v>
      </c>
      <c r="C133" s="16">
        <v>0.646087962962963</v>
      </c>
      <c r="D133" s="39">
        <v>0.72942129629629626</v>
      </c>
      <c r="E133" s="13" t="s">
        <v>15</v>
      </c>
      <c r="F133" s="13" t="s">
        <v>23</v>
      </c>
      <c r="G133" s="13" t="s">
        <v>12</v>
      </c>
      <c r="H133" s="13" t="s">
        <v>13</v>
      </c>
      <c r="I133" s="13" t="s">
        <v>19</v>
      </c>
      <c r="J133" s="13" t="s">
        <v>21</v>
      </c>
      <c r="K133" s="6">
        <f t="shared" si="12"/>
        <v>119.99999999999989</v>
      </c>
      <c r="L133" s="7" t="str" cm="1">
        <f t="array" ref="L133">_xlfn.SWITCH(J133,
  "Bentong Toll Plaza", "Short (0-50km)",
  "Karak Toll Plaza", "Short (0-50km)",
  "Lanchang Toll Plaza", "Medium (50-100km)",
  "Temerloh Toll Plaza", "Medium (50-100km)",
  "Chenor Toll Plaza", "Long (100-200km)",
  "Maran Toll Plaza", "Long (100-200km)",
  "Gambang Toll Plaza", "Long (100-200km)",
  "CHECK"
)</f>
        <v>Medium (50-100km)</v>
      </c>
      <c r="M133" s="7" t="str">
        <f t="shared" si="13"/>
        <v>Off-Peak</v>
      </c>
      <c r="N133" s="7" t="str">
        <f t="shared" si="14"/>
        <v>Weekday</v>
      </c>
      <c r="O133" s="7">
        <f t="shared" si="15"/>
        <v>15</v>
      </c>
      <c r="P133" s="7" t="str">
        <f t="shared" si="16"/>
        <v>May</v>
      </c>
      <c r="Q133" s="6">
        <f t="shared" si="17"/>
        <v>50.00000000000005</v>
      </c>
    </row>
    <row r="134" spans="1:17" x14ac:dyDescent="0.25">
      <c r="A134" s="13" t="s">
        <v>168</v>
      </c>
      <c r="B134" s="15">
        <v>45429</v>
      </c>
      <c r="C134" s="16">
        <v>0.3001388888888889</v>
      </c>
      <c r="D134" s="39">
        <v>0.3313888888888889</v>
      </c>
      <c r="E134" s="13" t="s">
        <v>10</v>
      </c>
      <c r="F134" s="13" t="s">
        <v>11</v>
      </c>
      <c r="G134" s="13" t="s">
        <v>16</v>
      </c>
      <c r="H134" s="13" t="s">
        <v>13</v>
      </c>
      <c r="I134" s="13" t="s">
        <v>19</v>
      </c>
      <c r="J134" s="13" t="s">
        <v>22</v>
      </c>
      <c r="K134" s="6">
        <f t="shared" si="12"/>
        <v>45</v>
      </c>
      <c r="L134" s="7" t="str" cm="1">
        <f t="array" ref="L134">_xlfn.SWITCH(J134,
  "Bentong Toll Plaza", "Short (0-50km)",
  "Karak Toll Plaza", "Short (0-50km)",
  "Lanchang Toll Plaza", "Medium (50-100km)",
  "Temerloh Toll Plaza", "Medium (50-100km)",
  "Chenor Toll Plaza", "Long (100-200km)",
  "Maran Toll Plaza", "Long (100-200km)",
  "Gambang Toll Plaza", "Long (100-200km)",
  "CHECK"
)</f>
        <v>Short (0-50km)</v>
      </c>
      <c r="M134" s="7" t="str">
        <f t="shared" si="13"/>
        <v>Peak</v>
      </c>
      <c r="N134" s="7" t="str">
        <f t="shared" si="14"/>
        <v>Weekday</v>
      </c>
      <c r="O134" s="7">
        <f t="shared" si="15"/>
        <v>7</v>
      </c>
      <c r="P134" s="7" t="str">
        <f t="shared" si="16"/>
        <v>May</v>
      </c>
      <c r="Q134" s="6">
        <f t="shared" si="17"/>
        <v>66.666666666666671</v>
      </c>
    </row>
    <row r="135" spans="1:17" x14ac:dyDescent="0.25">
      <c r="A135" s="13" t="s">
        <v>169</v>
      </c>
      <c r="B135" s="15">
        <v>45440</v>
      </c>
      <c r="C135" s="16">
        <v>0.41024305555555557</v>
      </c>
      <c r="D135" s="39">
        <v>0.49357638888888888</v>
      </c>
      <c r="E135" s="13" t="s">
        <v>17</v>
      </c>
      <c r="F135" s="13" t="s">
        <v>18</v>
      </c>
      <c r="G135" s="13" t="s">
        <v>14</v>
      </c>
      <c r="H135" s="13" t="s">
        <v>13</v>
      </c>
      <c r="I135" s="13" t="s">
        <v>19</v>
      </c>
      <c r="J135" s="13" t="s">
        <v>20</v>
      </c>
      <c r="K135" s="6">
        <f t="shared" si="12"/>
        <v>119.99999999999997</v>
      </c>
      <c r="L135" s="7" t="str" cm="1">
        <f t="array" ref="L135">_xlfn.SWITCH(J135,
  "Bentong Toll Plaza", "Short (0-50km)",
  "Karak Toll Plaza", "Short (0-50km)",
  "Lanchang Toll Plaza", "Medium (50-100km)",
  "Temerloh Toll Plaza", "Medium (50-100km)",
  "Chenor Toll Plaza", "Long (100-200km)",
  "Maran Toll Plaza", "Long (100-200km)",
  "Gambang Toll Plaza", "Long (100-200km)",
  "CHECK"
)</f>
        <v>Long (100-200km)</v>
      </c>
      <c r="M135" s="7" t="str">
        <f t="shared" si="13"/>
        <v>Off-Peak</v>
      </c>
      <c r="N135" s="7" t="str">
        <f t="shared" si="14"/>
        <v>Weekday</v>
      </c>
      <c r="O135" s="7">
        <f t="shared" si="15"/>
        <v>9</v>
      </c>
      <c r="P135" s="7" t="str">
        <f t="shared" si="16"/>
        <v>May</v>
      </c>
      <c r="Q135" s="6">
        <f t="shared" si="17"/>
        <v>100.00000000000003</v>
      </c>
    </row>
    <row r="136" spans="1:17" x14ac:dyDescent="0.25">
      <c r="A136" s="13" t="s">
        <v>170</v>
      </c>
      <c r="B136" s="15">
        <v>45451</v>
      </c>
      <c r="C136" s="16">
        <v>0.26067129629629632</v>
      </c>
      <c r="D136" s="39">
        <v>0.29192129629629632</v>
      </c>
      <c r="E136" s="13" t="s">
        <v>10</v>
      </c>
      <c r="F136" s="13" t="s">
        <v>11</v>
      </c>
      <c r="G136" s="13" t="s">
        <v>14</v>
      </c>
      <c r="H136" s="13" t="s">
        <v>13</v>
      </c>
      <c r="I136" s="13" t="s">
        <v>19</v>
      </c>
      <c r="J136" s="13" t="s">
        <v>24</v>
      </c>
      <c r="K136" s="6">
        <f t="shared" si="12"/>
        <v>45</v>
      </c>
      <c r="L136" s="7" t="str" cm="1">
        <f t="array" ref="L136">_xlfn.SWITCH(J136,
  "Bentong Toll Plaza", "Short (0-50km)",
  "Karak Toll Plaza", "Short (0-50km)",
  "Lanchang Toll Plaza", "Medium (50-100km)",
  "Temerloh Toll Plaza", "Medium (50-100km)",
  "Chenor Toll Plaza", "Long (100-200km)",
  "Maran Toll Plaza", "Long (100-200km)",
  "Gambang Toll Plaza", "Long (100-200km)",
  "CHECK"
)</f>
        <v>Short (0-50km)</v>
      </c>
      <c r="M136" s="7" t="str">
        <f t="shared" si="13"/>
        <v>Off-Peak</v>
      </c>
      <c r="N136" s="7" t="str">
        <f t="shared" si="14"/>
        <v>Weekend</v>
      </c>
      <c r="O136" s="7">
        <f t="shared" si="15"/>
        <v>6</v>
      </c>
      <c r="P136" s="7" t="str">
        <f t="shared" si="16"/>
        <v>Jun</v>
      </c>
      <c r="Q136" s="6">
        <f t="shared" si="17"/>
        <v>66.666666666666671</v>
      </c>
    </row>
    <row r="137" spans="1:17" x14ac:dyDescent="0.25">
      <c r="A137" s="13" t="s">
        <v>171</v>
      </c>
      <c r="B137" s="15">
        <v>45462</v>
      </c>
      <c r="C137" s="16">
        <v>0.67027777777777775</v>
      </c>
      <c r="D137" s="39">
        <v>0.75361111111111112</v>
      </c>
      <c r="E137" s="13" t="s">
        <v>15</v>
      </c>
      <c r="F137" s="13" t="s">
        <v>23</v>
      </c>
      <c r="G137" s="13" t="s">
        <v>12</v>
      </c>
      <c r="H137" s="13" t="s">
        <v>13</v>
      </c>
      <c r="I137" s="13" t="s">
        <v>19</v>
      </c>
      <c r="J137" s="13" t="s">
        <v>21</v>
      </c>
      <c r="K137" s="6">
        <f t="shared" si="12"/>
        <v>120.00000000000006</v>
      </c>
      <c r="L137" s="7" t="str" cm="1">
        <f t="array" ref="L137">_xlfn.SWITCH(J137,
  "Bentong Toll Plaza", "Short (0-50km)",
  "Karak Toll Plaza", "Short (0-50km)",
  "Lanchang Toll Plaza", "Medium (50-100km)",
  "Temerloh Toll Plaza", "Medium (50-100km)",
  "Chenor Toll Plaza", "Long (100-200km)",
  "Maran Toll Plaza", "Long (100-200km)",
  "Gambang Toll Plaza", "Long (100-200km)",
  "CHECK"
)</f>
        <v>Medium (50-100km)</v>
      </c>
      <c r="M137" s="7" t="str">
        <f t="shared" si="13"/>
        <v>Off-Peak</v>
      </c>
      <c r="N137" s="7" t="str">
        <f t="shared" si="14"/>
        <v>Weekday</v>
      </c>
      <c r="O137" s="7">
        <f t="shared" si="15"/>
        <v>16</v>
      </c>
      <c r="P137" s="7" t="str">
        <f t="shared" si="16"/>
        <v>Jun</v>
      </c>
      <c r="Q137" s="6">
        <f t="shared" si="17"/>
        <v>49.999999999999979</v>
      </c>
    </row>
    <row r="138" spans="1:17" x14ac:dyDescent="0.25">
      <c r="A138" s="13" t="s">
        <v>172</v>
      </c>
      <c r="B138" s="15">
        <v>45473</v>
      </c>
      <c r="C138" s="16">
        <v>0.50385416666666671</v>
      </c>
      <c r="D138" s="39">
        <v>0.53510416666666671</v>
      </c>
      <c r="E138" s="13" t="s">
        <v>10</v>
      </c>
      <c r="F138" s="13" t="s">
        <v>11</v>
      </c>
      <c r="G138" s="13" t="s">
        <v>16</v>
      </c>
      <c r="H138" s="13" t="s">
        <v>13</v>
      </c>
      <c r="I138" s="13" t="s">
        <v>19</v>
      </c>
      <c r="J138" s="13" t="s">
        <v>22</v>
      </c>
      <c r="K138" s="6">
        <f t="shared" si="12"/>
        <v>45</v>
      </c>
      <c r="L138" s="7" t="str" cm="1">
        <f t="array" ref="L138">_xlfn.SWITCH(J138,
  "Bentong Toll Plaza", "Short (0-50km)",
  "Karak Toll Plaza", "Short (0-50km)",
  "Lanchang Toll Plaza", "Medium (50-100km)",
  "Temerloh Toll Plaza", "Medium (50-100km)",
  "Chenor Toll Plaza", "Long (100-200km)",
  "Maran Toll Plaza", "Long (100-200km)",
  "Gambang Toll Plaza", "Long (100-200km)",
  "CHECK"
)</f>
        <v>Short (0-50km)</v>
      </c>
      <c r="M138" s="7" t="str">
        <f t="shared" si="13"/>
        <v>Off-Peak</v>
      </c>
      <c r="N138" s="7" t="str">
        <f t="shared" si="14"/>
        <v>Weekend</v>
      </c>
      <c r="O138" s="7">
        <f t="shared" si="15"/>
        <v>12</v>
      </c>
      <c r="P138" s="7" t="str">
        <f t="shared" si="16"/>
        <v>Jun</v>
      </c>
      <c r="Q138" s="6">
        <f t="shared" si="17"/>
        <v>66.666666666666671</v>
      </c>
    </row>
    <row r="139" spans="1:17" x14ac:dyDescent="0.25">
      <c r="A139" s="13" t="s">
        <v>173</v>
      </c>
      <c r="B139" s="15">
        <v>45484</v>
      </c>
      <c r="C139" s="16">
        <v>0.30914351851851851</v>
      </c>
      <c r="D139" s="39">
        <v>0.39247685185185183</v>
      </c>
      <c r="E139" s="13" t="s">
        <v>17</v>
      </c>
      <c r="F139" s="13" t="s">
        <v>18</v>
      </c>
      <c r="G139" s="13" t="s">
        <v>16</v>
      </c>
      <c r="H139" s="13" t="s">
        <v>13</v>
      </c>
      <c r="I139" s="13" t="s">
        <v>19</v>
      </c>
      <c r="J139" s="13" t="s">
        <v>20</v>
      </c>
      <c r="K139" s="6">
        <f t="shared" si="12"/>
        <v>119.99999999999997</v>
      </c>
      <c r="L139" s="7" t="str" cm="1">
        <f t="array" ref="L139">_xlfn.SWITCH(J139,
  "Bentong Toll Plaza", "Short (0-50km)",
  "Karak Toll Plaza", "Short (0-50km)",
  "Lanchang Toll Plaza", "Medium (50-100km)",
  "Temerloh Toll Plaza", "Medium (50-100km)",
  "Chenor Toll Plaza", "Long (100-200km)",
  "Maran Toll Plaza", "Long (100-200km)",
  "Gambang Toll Plaza", "Long (100-200km)",
  "CHECK"
)</f>
        <v>Long (100-200km)</v>
      </c>
      <c r="M139" s="7" t="str">
        <f t="shared" si="13"/>
        <v>Peak</v>
      </c>
      <c r="N139" s="7" t="str">
        <f t="shared" si="14"/>
        <v>Weekday</v>
      </c>
      <c r="O139" s="7">
        <f t="shared" si="15"/>
        <v>7</v>
      </c>
      <c r="P139" s="7" t="str">
        <f t="shared" si="16"/>
        <v>Jul</v>
      </c>
      <c r="Q139" s="6">
        <f t="shared" si="17"/>
        <v>100.00000000000003</v>
      </c>
    </row>
    <row r="140" spans="1:17" x14ac:dyDescent="0.25">
      <c r="A140" s="13" t="s">
        <v>174</v>
      </c>
      <c r="B140" s="15">
        <v>45495</v>
      </c>
      <c r="C140" s="16">
        <v>0.24666666666666667</v>
      </c>
      <c r="D140" s="39">
        <v>0.27791666666666665</v>
      </c>
      <c r="E140" s="13" t="s">
        <v>10</v>
      </c>
      <c r="F140" s="13" t="s">
        <v>11</v>
      </c>
      <c r="G140" s="13" t="s">
        <v>14</v>
      </c>
      <c r="H140" s="13" t="s">
        <v>13</v>
      </c>
      <c r="I140" s="13" t="s">
        <v>19</v>
      </c>
      <c r="J140" s="13" t="s">
        <v>24</v>
      </c>
      <c r="K140" s="6">
        <f t="shared" si="12"/>
        <v>44.999999999999957</v>
      </c>
      <c r="L140" s="7" t="str" cm="1">
        <f t="array" ref="L140">_xlfn.SWITCH(J140,
  "Bentong Toll Plaza", "Short (0-50km)",
  "Karak Toll Plaza", "Short (0-50km)",
  "Lanchang Toll Plaza", "Medium (50-100km)",
  "Temerloh Toll Plaza", "Medium (50-100km)",
  "Chenor Toll Plaza", "Long (100-200km)",
  "Maran Toll Plaza", "Long (100-200km)",
  "Gambang Toll Plaza", "Long (100-200km)",
  "CHECK"
)</f>
        <v>Short (0-50km)</v>
      </c>
      <c r="M140" s="7" t="str">
        <f t="shared" si="13"/>
        <v>Off-Peak</v>
      </c>
      <c r="N140" s="7" t="str">
        <f t="shared" si="14"/>
        <v>Weekday</v>
      </c>
      <c r="O140" s="7">
        <f t="shared" si="15"/>
        <v>5</v>
      </c>
      <c r="P140" s="7" t="str">
        <f t="shared" si="16"/>
        <v>Jul</v>
      </c>
      <c r="Q140" s="6">
        <f t="shared" si="17"/>
        <v>66.666666666666728</v>
      </c>
    </row>
    <row r="141" spans="1:17" x14ac:dyDescent="0.25">
      <c r="A141" s="13" t="s">
        <v>175</v>
      </c>
      <c r="B141" s="15">
        <v>45507</v>
      </c>
      <c r="C141" s="16">
        <v>0.56982638888888892</v>
      </c>
      <c r="D141" s="39">
        <v>0.65315972222222218</v>
      </c>
      <c r="E141" s="13" t="s">
        <v>15</v>
      </c>
      <c r="F141" s="13" t="s">
        <v>23</v>
      </c>
      <c r="G141" s="13" t="s">
        <v>12</v>
      </c>
      <c r="H141" s="13" t="s">
        <v>13</v>
      </c>
      <c r="I141" s="13" t="s">
        <v>19</v>
      </c>
      <c r="J141" s="13" t="s">
        <v>21</v>
      </c>
      <c r="K141" s="6">
        <f t="shared" si="12"/>
        <v>119.99999999999989</v>
      </c>
      <c r="L141" s="7" t="str" cm="1">
        <f t="array" ref="L141">_xlfn.SWITCH(J141,
  "Bentong Toll Plaza", "Short (0-50km)",
  "Karak Toll Plaza", "Short (0-50km)",
  "Lanchang Toll Plaza", "Medium (50-100km)",
  "Temerloh Toll Plaza", "Medium (50-100km)",
  "Chenor Toll Plaza", "Long (100-200km)",
  "Maran Toll Plaza", "Long (100-200km)",
  "Gambang Toll Plaza", "Long (100-200km)",
  "CHECK"
)</f>
        <v>Medium (50-100km)</v>
      </c>
      <c r="M141" s="7" t="str">
        <f t="shared" si="13"/>
        <v>Off-Peak</v>
      </c>
      <c r="N141" s="7" t="str">
        <f t="shared" si="14"/>
        <v>Weekend</v>
      </c>
      <c r="O141" s="7">
        <f t="shared" si="15"/>
        <v>13</v>
      </c>
      <c r="P141" s="7" t="str">
        <f t="shared" si="16"/>
        <v>Aug</v>
      </c>
      <c r="Q141" s="6">
        <f t="shared" si="17"/>
        <v>50.00000000000005</v>
      </c>
    </row>
    <row r="142" spans="1:17" x14ac:dyDescent="0.25">
      <c r="A142" s="13" t="s">
        <v>176</v>
      </c>
      <c r="B142" s="15">
        <v>45518</v>
      </c>
      <c r="C142" s="16">
        <v>0.25358796296296299</v>
      </c>
      <c r="D142" s="39">
        <v>0.28483796296296299</v>
      </c>
      <c r="E142" s="13" t="s">
        <v>10</v>
      </c>
      <c r="F142" s="13" t="s">
        <v>11</v>
      </c>
      <c r="G142" s="13" t="s">
        <v>16</v>
      </c>
      <c r="H142" s="13" t="s">
        <v>13</v>
      </c>
      <c r="I142" s="13" t="s">
        <v>19</v>
      </c>
      <c r="J142" s="13" t="s">
        <v>22</v>
      </c>
      <c r="K142" s="6">
        <f t="shared" si="12"/>
        <v>45</v>
      </c>
      <c r="L142" s="7" t="str" cm="1">
        <f t="array" ref="L142">_xlfn.SWITCH(J142,
  "Bentong Toll Plaza", "Short (0-50km)",
  "Karak Toll Plaza", "Short (0-50km)",
  "Lanchang Toll Plaza", "Medium (50-100km)",
  "Temerloh Toll Plaza", "Medium (50-100km)",
  "Chenor Toll Plaza", "Long (100-200km)",
  "Maran Toll Plaza", "Long (100-200km)",
  "Gambang Toll Plaza", "Long (100-200km)",
  "CHECK"
)</f>
        <v>Short (0-50km)</v>
      </c>
      <c r="M142" s="7" t="str">
        <f t="shared" si="13"/>
        <v>Off-Peak</v>
      </c>
      <c r="N142" s="7" t="str">
        <f t="shared" si="14"/>
        <v>Weekday</v>
      </c>
      <c r="O142" s="7">
        <f t="shared" si="15"/>
        <v>6</v>
      </c>
      <c r="P142" s="7" t="str">
        <f t="shared" si="16"/>
        <v>Aug</v>
      </c>
      <c r="Q142" s="6">
        <f t="shared" si="17"/>
        <v>66.666666666666671</v>
      </c>
    </row>
    <row r="143" spans="1:17" x14ac:dyDescent="0.25">
      <c r="A143" s="13" t="s">
        <v>177</v>
      </c>
      <c r="B143" s="15">
        <v>45529</v>
      </c>
      <c r="C143" s="16">
        <v>0.38358796296296294</v>
      </c>
      <c r="D143" s="39">
        <v>0.46692129629629631</v>
      </c>
      <c r="E143" s="13" t="s">
        <v>17</v>
      </c>
      <c r="F143" s="13" t="s">
        <v>18</v>
      </c>
      <c r="G143" s="13" t="s">
        <v>14</v>
      </c>
      <c r="H143" s="13" t="s">
        <v>13</v>
      </c>
      <c r="I143" s="13" t="s">
        <v>19</v>
      </c>
      <c r="J143" s="13" t="s">
        <v>20</v>
      </c>
      <c r="K143" s="6">
        <f t="shared" si="12"/>
        <v>120.00000000000006</v>
      </c>
      <c r="L143" s="7" t="str" cm="1">
        <f t="array" ref="L143">_xlfn.SWITCH(J143,
  "Bentong Toll Plaza", "Short (0-50km)",
  "Karak Toll Plaza", "Short (0-50km)",
  "Lanchang Toll Plaza", "Medium (50-100km)",
  "Temerloh Toll Plaza", "Medium (50-100km)",
  "Chenor Toll Plaza", "Long (100-200km)",
  "Maran Toll Plaza", "Long (100-200km)",
  "Gambang Toll Plaza", "Long (100-200km)",
  "CHECK"
)</f>
        <v>Long (100-200km)</v>
      </c>
      <c r="M143" s="7" t="str">
        <f t="shared" si="13"/>
        <v>Off-Peak</v>
      </c>
      <c r="N143" s="7" t="str">
        <f t="shared" si="14"/>
        <v>Weekend</v>
      </c>
      <c r="O143" s="7">
        <f t="shared" si="15"/>
        <v>9</v>
      </c>
      <c r="P143" s="7" t="str">
        <f t="shared" si="16"/>
        <v>Aug</v>
      </c>
      <c r="Q143" s="6">
        <f t="shared" si="17"/>
        <v>99.999999999999957</v>
      </c>
    </row>
    <row r="144" spans="1:17" x14ac:dyDescent="0.25">
      <c r="A144" s="13" t="s">
        <v>178</v>
      </c>
      <c r="B144" s="15">
        <v>45540</v>
      </c>
      <c r="C144" s="16">
        <v>0.36857638888888888</v>
      </c>
      <c r="D144" s="39">
        <v>0.39982638888888888</v>
      </c>
      <c r="E144" s="13" t="s">
        <v>10</v>
      </c>
      <c r="F144" s="13" t="s">
        <v>11</v>
      </c>
      <c r="G144" s="13" t="s">
        <v>14</v>
      </c>
      <c r="H144" s="13" t="s">
        <v>13</v>
      </c>
      <c r="I144" s="13" t="s">
        <v>19</v>
      </c>
      <c r="J144" s="13" t="s">
        <v>24</v>
      </c>
      <c r="K144" s="6">
        <f t="shared" si="12"/>
        <v>45</v>
      </c>
      <c r="L144" s="7" t="str" cm="1">
        <f t="array" ref="L144">_xlfn.SWITCH(J144,
  "Bentong Toll Plaza", "Short (0-50km)",
  "Karak Toll Plaza", "Short (0-50km)",
  "Lanchang Toll Plaza", "Medium (50-100km)",
  "Temerloh Toll Plaza", "Medium (50-100km)",
  "Chenor Toll Plaza", "Long (100-200km)",
  "Maran Toll Plaza", "Long (100-200km)",
  "Gambang Toll Plaza", "Long (100-200km)",
  "CHECK"
)</f>
        <v>Short (0-50km)</v>
      </c>
      <c r="M144" s="7" t="str">
        <f t="shared" si="13"/>
        <v>Peak</v>
      </c>
      <c r="N144" s="7" t="str">
        <f t="shared" si="14"/>
        <v>Weekday</v>
      </c>
      <c r="O144" s="7">
        <f t="shared" si="15"/>
        <v>8</v>
      </c>
      <c r="P144" s="7" t="str">
        <f t="shared" si="16"/>
        <v>Sep</v>
      </c>
      <c r="Q144" s="6">
        <f t="shared" si="17"/>
        <v>66.666666666666671</v>
      </c>
    </row>
    <row r="145" spans="1:17" x14ac:dyDescent="0.25">
      <c r="A145" s="13" t="s">
        <v>179</v>
      </c>
      <c r="B145" s="15">
        <v>45551</v>
      </c>
      <c r="C145" s="16">
        <v>0.62885416666666671</v>
      </c>
      <c r="D145" s="39">
        <v>0.71218749999999997</v>
      </c>
      <c r="E145" s="13" t="s">
        <v>15</v>
      </c>
      <c r="F145" s="13" t="s">
        <v>23</v>
      </c>
      <c r="G145" s="13" t="s">
        <v>12</v>
      </c>
      <c r="H145" s="13" t="s">
        <v>13</v>
      </c>
      <c r="I145" s="13" t="s">
        <v>19</v>
      </c>
      <c r="J145" s="13" t="s">
        <v>21</v>
      </c>
      <c r="K145" s="6">
        <f t="shared" si="12"/>
        <v>119.99999999999989</v>
      </c>
      <c r="L145" s="7" t="str" cm="1">
        <f t="array" ref="L145">_xlfn.SWITCH(J145,
  "Bentong Toll Plaza", "Short (0-50km)",
  "Karak Toll Plaza", "Short (0-50km)",
  "Lanchang Toll Plaza", "Medium (50-100km)",
  "Temerloh Toll Plaza", "Medium (50-100km)",
  "Chenor Toll Plaza", "Long (100-200km)",
  "Maran Toll Plaza", "Long (100-200km)",
  "Gambang Toll Plaza", "Long (100-200km)",
  "CHECK"
)</f>
        <v>Medium (50-100km)</v>
      </c>
      <c r="M145" s="7" t="str">
        <f t="shared" si="13"/>
        <v>Off-Peak</v>
      </c>
      <c r="N145" s="7" t="str">
        <f t="shared" si="14"/>
        <v>Weekday</v>
      </c>
      <c r="O145" s="7">
        <f t="shared" si="15"/>
        <v>15</v>
      </c>
      <c r="P145" s="7" t="str">
        <f t="shared" si="16"/>
        <v>Sep</v>
      </c>
      <c r="Q145" s="6">
        <f t="shared" si="17"/>
        <v>50.00000000000005</v>
      </c>
    </row>
    <row r="146" spans="1:17" x14ac:dyDescent="0.25">
      <c r="A146" s="13" t="s">
        <v>180</v>
      </c>
      <c r="B146" s="15">
        <v>45562</v>
      </c>
      <c r="C146" s="16">
        <v>0.30569444444444444</v>
      </c>
      <c r="D146" s="39">
        <v>0.33694444444444444</v>
      </c>
      <c r="E146" s="13" t="s">
        <v>10</v>
      </c>
      <c r="F146" s="13" t="s">
        <v>11</v>
      </c>
      <c r="G146" s="13" t="s">
        <v>16</v>
      </c>
      <c r="H146" s="13" t="s">
        <v>13</v>
      </c>
      <c r="I146" s="13" t="s">
        <v>19</v>
      </c>
      <c r="J146" s="13" t="s">
        <v>22</v>
      </c>
      <c r="K146" s="6">
        <f t="shared" si="12"/>
        <v>45</v>
      </c>
      <c r="L146" s="7" t="str" cm="1">
        <f t="array" ref="L146">_xlfn.SWITCH(J146,
  "Bentong Toll Plaza", "Short (0-50km)",
  "Karak Toll Plaza", "Short (0-50km)",
  "Lanchang Toll Plaza", "Medium (50-100km)",
  "Temerloh Toll Plaza", "Medium (50-100km)",
  "Chenor Toll Plaza", "Long (100-200km)",
  "Maran Toll Plaza", "Long (100-200km)",
  "Gambang Toll Plaza", "Long (100-200km)",
  "CHECK"
)</f>
        <v>Short (0-50km)</v>
      </c>
      <c r="M146" s="7" t="str">
        <f t="shared" si="13"/>
        <v>Peak</v>
      </c>
      <c r="N146" s="7" t="str">
        <f t="shared" si="14"/>
        <v>Weekday</v>
      </c>
      <c r="O146" s="7">
        <f t="shared" si="15"/>
        <v>7</v>
      </c>
      <c r="P146" s="7" t="str">
        <f t="shared" si="16"/>
        <v>Sep</v>
      </c>
      <c r="Q146" s="6">
        <f t="shared" si="17"/>
        <v>66.666666666666671</v>
      </c>
    </row>
    <row r="147" spans="1:17" x14ac:dyDescent="0.25">
      <c r="A147" s="13" t="s">
        <v>181</v>
      </c>
      <c r="B147" s="15">
        <v>45573</v>
      </c>
      <c r="C147" s="16">
        <v>0.42052083333333334</v>
      </c>
      <c r="D147" s="39">
        <v>0.50385416666666671</v>
      </c>
      <c r="E147" s="13" t="s">
        <v>17</v>
      </c>
      <c r="F147" s="13" t="s">
        <v>18</v>
      </c>
      <c r="G147" s="13" t="s">
        <v>16</v>
      </c>
      <c r="H147" s="13" t="s">
        <v>13</v>
      </c>
      <c r="I147" s="13" t="s">
        <v>19</v>
      </c>
      <c r="J147" s="13" t="s">
        <v>20</v>
      </c>
      <c r="K147" s="6">
        <f t="shared" si="12"/>
        <v>120.00000000000006</v>
      </c>
      <c r="L147" s="7" t="str" cm="1">
        <f t="array" ref="L147">_xlfn.SWITCH(J147,
  "Bentong Toll Plaza", "Short (0-50km)",
  "Karak Toll Plaza", "Short (0-50km)",
  "Lanchang Toll Plaza", "Medium (50-100km)",
  "Temerloh Toll Plaza", "Medium (50-100km)",
  "Chenor Toll Plaza", "Long (100-200km)",
  "Maran Toll Plaza", "Long (100-200km)",
  "Gambang Toll Plaza", "Long (100-200km)",
  "CHECK"
)</f>
        <v>Long (100-200km)</v>
      </c>
      <c r="M147" s="7" t="str">
        <f t="shared" si="13"/>
        <v>Off-Peak</v>
      </c>
      <c r="N147" s="7" t="str">
        <f t="shared" si="14"/>
        <v>Weekday</v>
      </c>
      <c r="O147" s="7">
        <f t="shared" si="15"/>
        <v>10</v>
      </c>
      <c r="P147" s="7" t="str">
        <f t="shared" si="16"/>
        <v>Oct</v>
      </c>
      <c r="Q147" s="6">
        <f t="shared" si="17"/>
        <v>99.999999999999957</v>
      </c>
    </row>
    <row r="148" spans="1:17" x14ac:dyDescent="0.25">
      <c r="A148" s="13" t="s">
        <v>182</v>
      </c>
      <c r="B148" s="15">
        <v>45584</v>
      </c>
      <c r="C148" s="16">
        <v>0.25858796296296294</v>
      </c>
      <c r="D148" s="39">
        <v>0.28983796296296294</v>
      </c>
      <c r="E148" s="13" t="s">
        <v>10</v>
      </c>
      <c r="F148" s="13" t="s">
        <v>11</v>
      </c>
      <c r="G148" s="13" t="s">
        <v>14</v>
      </c>
      <c r="H148" s="13" t="s">
        <v>13</v>
      </c>
      <c r="I148" s="13" t="s">
        <v>19</v>
      </c>
      <c r="J148" s="13" t="s">
        <v>24</v>
      </c>
      <c r="K148" s="6">
        <f t="shared" si="12"/>
        <v>45</v>
      </c>
      <c r="L148" s="7" t="str" cm="1">
        <f t="array" ref="L148">_xlfn.SWITCH(J148,
  "Bentong Toll Plaza", "Short (0-50km)",
  "Karak Toll Plaza", "Short (0-50km)",
  "Lanchang Toll Plaza", "Medium (50-100km)",
  "Temerloh Toll Plaza", "Medium (50-100km)",
  "Chenor Toll Plaza", "Long (100-200km)",
  "Maran Toll Plaza", "Long (100-200km)",
  "Gambang Toll Plaza", "Long (100-200km)",
  "CHECK"
)</f>
        <v>Short (0-50km)</v>
      </c>
      <c r="M148" s="7" t="str">
        <f t="shared" si="13"/>
        <v>Off-Peak</v>
      </c>
      <c r="N148" s="7" t="str">
        <f t="shared" si="14"/>
        <v>Weekend</v>
      </c>
      <c r="O148" s="7">
        <f t="shared" si="15"/>
        <v>6</v>
      </c>
      <c r="P148" s="7" t="str">
        <f t="shared" si="16"/>
        <v>Oct</v>
      </c>
      <c r="Q148" s="6">
        <f t="shared" si="17"/>
        <v>66.666666666666671</v>
      </c>
    </row>
    <row r="149" spans="1:17" x14ac:dyDescent="0.25">
      <c r="A149" s="13" t="s">
        <v>183</v>
      </c>
      <c r="B149" s="15">
        <v>45595</v>
      </c>
      <c r="C149" s="16">
        <v>0.7192708333333333</v>
      </c>
      <c r="D149" s="39">
        <v>0.80260416666666667</v>
      </c>
      <c r="E149" s="13" t="s">
        <v>15</v>
      </c>
      <c r="F149" s="13" t="s">
        <v>23</v>
      </c>
      <c r="G149" s="13" t="s">
        <v>12</v>
      </c>
      <c r="H149" s="13" t="s">
        <v>13</v>
      </c>
      <c r="I149" s="13" t="s">
        <v>19</v>
      </c>
      <c r="J149" s="13" t="s">
        <v>21</v>
      </c>
      <c r="K149" s="6">
        <f t="shared" si="12"/>
        <v>120.00000000000006</v>
      </c>
      <c r="L149" s="7" t="str" cm="1">
        <f t="array" ref="L149">_xlfn.SWITCH(J149,
  "Bentong Toll Plaza", "Short (0-50km)",
  "Karak Toll Plaza", "Short (0-50km)",
  "Lanchang Toll Plaza", "Medium (50-100km)",
  "Temerloh Toll Plaza", "Medium (50-100km)",
  "Chenor Toll Plaza", "Long (100-200km)",
  "Maran Toll Plaza", "Long (100-200km)",
  "Gambang Toll Plaza", "Long (100-200km)",
  "CHECK"
)</f>
        <v>Medium (50-100km)</v>
      </c>
      <c r="M149" s="7" t="str">
        <f t="shared" si="13"/>
        <v>Peak</v>
      </c>
      <c r="N149" s="7" t="str">
        <f t="shared" si="14"/>
        <v>Weekday</v>
      </c>
      <c r="O149" s="7">
        <f t="shared" si="15"/>
        <v>17</v>
      </c>
      <c r="P149" s="7" t="str">
        <f t="shared" si="16"/>
        <v>Oct</v>
      </c>
      <c r="Q149" s="6">
        <f t="shared" si="17"/>
        <v>49.999999999999979</v>
      </c>
    </row>
    <row r="150" spans="1:17" x14ac:dyDescent="0.25">
      <c r="A150" s="13" t="s">
        <v>184</v>
      </c>
      <c r="B150" s="15">
        <v>45606</v>
      </c>
      <c r="C150" s="16">
        <v>0.53486111111111112</v>
      </c>
      <c r="D150" s="39">
        <v>0.56611111111111112</v>
      </c>
      <c r="E150" s="13" t="s">
        <v>10</v>
      </c>
      <c r="F150" s="13" t="s">
        <v>11</v>
      </c>
      <c r="G150" s="13" t="s">
        <v>16</v>
      </c>
      <c r="H150" s="13" t="s">
        <v>13</v>
      </c>
      <c r="I150" s="13" t="s">
        <v>19</v>
      </c>
      <c r="J150" s="13" t="s">
        <v>22</v>
      </c>
      <c r="K150" s="6">
        <f t="shared" si="12"/>
        <v>45</v>
      </c>
      <c r="L150" s="7" t="str" cm="1">
        <f t="array" ref="L150">_xlfn.SWITCH(J150,
  "Bentong Toll Plaza", "Short (0-50km)",
  "Karak Toll Plaza", "Short (0-50km)",
  "Lanchang Toll Plaza", "Medium (50-100km)",
  "Temerloh Toll Plaza", "Medium (50-100km)",
  "Chenor Toll Plaza", "Long (100-200km)",
  "Maran Toll Plaza", "Long (100-200km)",
  "Gambang Toll Plaza", "Long (100-200km)",
  "CHECK"
)</f>
        <v>Short (0-50km)</v>
      </c>
      <c r="M150" s="7" t="str">
        <f t="shared" si="13"/>
        <v>Off-Peak</v>
      </c>
      <c r="N150" s="7" t="str">
        <f t="shared" si="14"/>
        <v>Weekend</v>
      </c>
      <c r="O150" s="7">
        <f t="shared" si="15"/>
        <v>12</v>
      </c>
      <c r="P150" s="7" t="str">
        <f t="shared" si="16"/>
        <v>Nov</v>
      </c>
      <c r="Q150" s="6">
        <f t="shared" si="17"/>
        <v>66.666666666666671</v>
      </c>
    </row>
    <row r="151" spans="1:17" x14ac:dyDescent="0.25">
      <c r="A151" s="13" t="s">
        <v>185</v>
      </c>
      <c r="B151" s="15">
        <v>45617</v>
      </c>
      <c r="C151" s="16">
        <v>0.29552083333333334</v>
      </c>
      <c r="D151" s="39">
        <v>0.37885416666666666</v>
      </c>
      <c r="E151" s="13" t="s">
        <v>17</v>
      </c>
      <c r="F151" s="13" t="s">
        <v>18</v>
      </c>
      <c r="G151" s="13" t="s">
        <v>14</v>
      </c>
      <c r="H151" s="13" t="s">
        <v>13</v>
      </c>
      <c r="I151" s="13" t="s">
        <v>19</v>
      </c>
      <c r="J151" s="13" t="s">
        <v>20</v>
      </c>
      <c r="K151" s="6">
        <f t="shared" si="12"/>
        <v>119.99999999999997</v>
      </c>
      <c r="L151" s="7" t="str" cm="1">
        <f t="array" ref="L151">_xlfn.SWITCH(J151,
  "Bentong Toll Plaza", "Short (0-50km)",
  "Karak Toll Plaza", "Short (0-50km)",
  "Lanchang Toll Plaza", "Medium (50-100km)",
  "Temerloh Toll Plaza", "Medium (50-100km)",
  "Chenor Toll Plaza", "Long (100-200km)",
  "Maran Toll Plaza", "Long (100-200km)",
  "Gambang Toll Plaza", "Long (100-200km)",
  "CHECK"
)</f>
        <v>Long (100-200km)</v>
      </c>
      <c r="M151" s="7" t="str">
        <f t="shared" si="13"/>
        <v>Peak</v>
      </c>
      <c r="N151" s="7" t="str">
        <f t="shared" si="14"/>
        <v>Weekday</v>
      </c>
      <c r="O151" s="7">
        <f t="shared" si="15"/>
        <v>7</v>
      </c>
      <c r="P151" s="7" t="str">
        <f t="shared" si="16"/>
        <v>Nov</v>
      </c>
      <c r="Q151" s="6">
        <f t="shared" si="17"/>
        <v>100.00000000000003</v>
      </c>
    </row>
    <row r="152" spans="1:17" x14ac:dyDescent="0.25">
      <c r="A152" s="13" t="s">
        <v>186</v>
      </c>
      <c r="B152" s="15">
        <v>45628</v>
      </c>
      <c r="C152" s="16">
        <v>0.24678240740740739</v>
      </c>
      <c r="D152" s="39">
        <v>0.27803240740740742</v>
      </c>
      <c r="E152" s="13" t="s">
        <v>10</v>
      </c>
      <c r="F152" s="13" t="s">
        <v>11</v>
      </c>
      <c r="G152" s="13" t="s">
        <v>14</v>
      </c>
      <c r="H152" s="13" t="s">
        <v>13</v>
      </c>
      <c r="I152" s="13" t="s">
        <v>19</v>
      </c>
      <c r="J152" s="13" t="s">
        <v>24</v>
      </c>
      <c r="K152" s="6">
        <f t="shared" si="12"/>
        <v>45.000000000000043</v>
      </c>
      <c r="L152" s="7" t="str" cm="1">
        <f t="array" ref="L152">_xlfn.SWITCH(J152,
  "Bentong Toll Plaza", "Short (0-50km)",
  "Karak Toll Plaza", "Short (0-50km)",
  "Lanchang Toll Plaza", "Medium (50-100km)",
  "Temerloh Toll Plaza", "Medium (50-100km)",
  "Chenor Toll Plaza", "Long (100-200km)",
  "Maran Toll Plaza", "Long (100-200km)",
  "Gambang Toll Plaza", "Long (100-200km)",
  "CHECK"
)</f>
        <v>Short (0-50km)</v>
      </c>
      <c r="M152" s="7" t="str">
        <f t="shared" si="13"/>
        <v>Off-Peak</v>
      </c>
      <c r="N152" s="7" t="str">
        <f t="shared" si="14"/>
        <v>Weekday</v>
      </c>
      <c r="O152" s="7">
        <f t="shared" si="15"/>
        <v>5</v>
      </c>
      <c r="P152" s="7" t="str">
        <f t="shared" si="16"/>
        <v>Dec</v>
      </c>
      <c r="Q152" s="6">
        <f t="shared" si="17"/>
        <v>66.6666666666666</v>
      </c>
    </row>
    <row r="153" spans="1:17" x14ac:dyDescent="0.25">
      <c r="A153" s="13" t="s">
        <v>187</v>
      </c>
      <c r="B153" s="15">
        <v>45639</v>
      </c>
      <c r="C153" s="16">
        <v>0.61122685185185188</v>
      </c>
      <c r="D153" s="39">
        <v>0.69456018518518514</v>
      </c>
      <c r="E153" s="13" t="s">
        <v>15</v>
      </c>
      <c r="F153" s="13" t="s">
        <v>23</v>
      </c>
      <c r="G153" s="13" t="s">
        <v>12</v>
      </c>
      <c r="H153" s="13" t="s">
        <v>13</v>
      </c>
      <c r="I153" s="13" t="s">
        <v>19</v>
      </c>
      <c r="J153" s="13" t="s">
        <v>21</v>
      </c>
      <c r="K153" s="6">
        <f t="shared" si="12"/>
        <v>119.99999999999989</v>
      </c>
      <c r="L153" s="7" t="str" cm="1">
        <f t="array" ref="L153">_xlfn.SWITCH(J153,
  "Bentong Toll Plaza", "Short (0-50km)",
  "Karak Toll Plaza", "Short (0-50km)",
  "Lanchang Toll Plaza", "Medium (50-100km)",
  "Temerloh Toll Plaza", "Medium (50-100km)",
  "Chenor Toll Plaza", "Long (100-200km)",
  "Maran Toll Plaza", "Long (100-200km)",
  "Gambang Toll Plaza", "Long (100-200km)",
  "CHECK"
)</f>
        <v>Medium (50-100km)</v>
      </c>
      <c r="M153" s="7" t="str">
        <f t="shared" si="13"/>
        <v>Off-Peak</v>
      </c>
      <c r="N153" s="7" t="str">
        <f t="shared" si="14"/>
        <v>Weekday</v>
      </c>
      <c r="O153" s="7">
        <f t="shared" si="15"/>
        <v>14</v>
      </c>
      <c r="P153" s="7" t="str">
        <f t="shared" si="16"/>
        <v>Dec</v>
      </c>
      <c r="Q153" s="6">
        <f t="shared" si="17"/>
        <v>50.00000000000005</v>
      </c>
    </row>
    <row r="154" spans="1:17" x14ac:dyDescent="0.25">
      <c r="A154" s="13" t="s">
        <v>188</v>
      </c>
      <c r="B154" s="15">
        <v>45650</v>
      </c>
      <c r="C154" s="16">
        <v>0.30052083333333335</v>
      </c>
      <c r="D154" s="39">
        <v>0.33177083333333335</v>
      </c>
      <c r="E154" s="13" t="s">
        <v>10</v>
      </c>
      <c r="F154" s="13" t="s">
        <v>11</v>
      </c>
      <c r="G154" s="13" t="s">
        <v>16</v>
      </c>
      <c r="H154" s="13" t="s">
        <v>13</v>
      </c>
      <c r="I154" s="13" t="s">
        <v>19</v>
      </c>
      <c r="J154" s="13" t="s">
        <v>22</v>
      </c>
      <c r="K154" s="6">
        <f t="shared" ref="K154:K171" si="18">IF(D154&lt;C154, ((D154+1)-C154)*1440, (D154-C154)*1440)</f>
        <v>45</v>
      </c>
      <c r="L154" s="7" t="str" cm="1">
        <f t="array" ref="L154">_xlfn.SWITCH(J154,
  "Bentong Toll Plaza", "Short (0-50km)",
  "Karak Toll Plaza", "Short (0-50km)",
  "Lanchang Toll Plaza", "Medium (50-100km)",
  "Temerloh Toll Plaza", "Medium (50-100km)",
  "Chenor Toll Plaza", "Long (100-200km)",
  "Maran Toll Plaza", "Long (100-200km)",
  "Gambang Toll Plaza", "Long (100-200km)",
  "CHECK"
)</f>
        <v>Short (0-50km)</v>
      </c>
      <c r="M154" s="7" t="str">
        <f t="shared" ref="M154:M171" si="19">IF(OR(
    AND(MOD(C154,1)&gt;=TIME(7,0,0), MOD(C154,1)&lt;=TIME(9,0,0)),
    AND(MOD(C154,1)&gt;=TIME(17,0,0), MOD(C154,1)&lt;=TIME(19,0,0))
), "Peak", "Off-Peak")</f>
        <v>Peak</v>
      </c>
      <c r="N154" s="7" t="str">
        <f t="shared" ref="N154:N171" si="20">IF(WEEKDAY(B154,2)&gt;=6, "Weekend", "Weekday")</f>
        <v>Weekday</v>
      </c>
      <c r="O154" s="7">
        <f t="shared" ref="O154:O171" si="21">HOUR(C154)</f>
        <v>7</v>
      </c>
      <c r="P154" s="7" t="str">
        <f t="shared" ref="P154:P171" si="22">TEXT(B154,"mmm")</f>
        <v>Dec</v>
      </c>
      <c r="Q154" s="6">
        <f t="shared" ref="Q154:Q171" si="23">IF(L154="Short (0-50km)", (50/(K154/60)),
 IF(L154="Medium (50-100km)", (100/(K154/60)),
 IF(L154="Long (100-200km)", (200/(K154/60)),
 "Invalid")))</f>
        <v>66.666666666666671</v>
      </c>
    </row>
    <row r="155" spans="1:17" x14ac:dyDescent="0.25">
      <c r="A155" s="13" t="s">
        <v>189</v>
      </c>
      <c r="B155" s="15">
        <v>45295</v>
      </c>
      <c r="C155" s="16">
        <v>0.40986111111111112</v>
      </c>
      <c r="D155" s="39">
        <v>0.49319444444444444</v>
      </c>
      <c r="E155" s="13" t="s">
        <v>17</v>
      </c>
      <c r="F155" s="13" t="s">
        <v>18</v>
      </c>
      <c r="G155" s="13" t="s">
        <v>16</v>
      </c>
      <c r="H155" s="13" t="s">
        <v>13</v>
      </c>
      <c r="I155" s="13" t="s">
        <v>19</v>
      </c>
      <c r="J155" s="13" t="s">
        <v>20</v>
      </c>
      <c r="K155" s="6">
        <f t="shared" si="18"/>
        <v>119.99999999999997</v>
      </c>
      <c r="L155" s="7" t="str" cm="1">
        <f t="array" ref="L155">_xlfn.SWITCH(J155,
  "Bentong Toll Plaza", "Short (0-50km)",
  "Karak Toll Plaza", "Short (0-50km)",
  "Lanchang Toll Plaza", "Medium (50-100km)",
  "Temerloh Toll Plaza", "Medium (50-100km)",
  "Chenor Toll Plaza", "Long (100-200km)",
  "Maran Toll Plaza", "Long (100-200km)",
  "Gambang Toll Plaza", "Long (100-200km)",
  "CHECK"
)</f>
        <v>Long (100-200km)</v>
      </c>
      <c r="M155" s="7" t="str">
        <f t="shared" si="19"/>
        <v>Off-Peak</v>
      </c>
      <c r="N155" s="7" t="str">
        <f t="shared" si="20"/>
        <v>Weekday</v>
      </c>
      <c r="O155" s="7">
        <f t="shared" si="21"/>
        <v>9</v>
      </c>
      <c r="P155" s="7" t="str">
        <f t="shared" si="22"/>
        <v>Jan</v>
      </c>
      <c r="Q155" s="6">
        <f t="shared" si="23"/>
        <v>100.00000000000003</v>
      </c>
    </row>
    <row r="156" spans="1:17" x14ac:dyDescent="0.25">
      <c r="A156" s="13" t="s">
        <v>190</v>
      </c>
      <c r="B156" s="15">
        <v>45306</v>
      </c>
      <c r="C156" s="16">
        <v>0.26067129629629632</v>
      </c>
      <c r="D156" s="39">
        <v>0.29192129629629632</v>
      </c>
      <c r="E156" s="13" t="s">
        <v>10</v>
      </c>
      <c r="F156" s="13" t="s">
        <v>11</v>
      </c>
      <c r="G156" s="13" t="s">
        <v>14</v>
      </c>
      <c r="H156" s="13" t="s">
        <v>13</v>
      </c>
      <c r="I156" s="13" t="s">
        <v>19</v>
      </c>
      <c r="J156" s="13" t="s">
        <v>24</v>
      </c>
      <c r="K156" s="6">
        <f t="shared" si="18"/>
        <v>45</v>
      </c>
      <c r="L156" s="7" t="str" cm="1">
        <f t="array" ref="L156">_xlfn.SWITCH(J156,
  "Bentong Toll Plaza", "Short (0-50km)",
  "Karak Toll Plaza", "Short (0-50km)",
  "Lanchang Toll Plaza", "Medium (50-100km)",
  "Temerloh Toll Plaza", "Medium (50-100km)",
  "Chenor Toll Plaza", "Long (100-200km)",
  "Maran Toll Plaza", "Long (100-200km)",
  "Gambang Toll Plaza", "Long (100-200km)",
  "CHECK"
)</f>
        <v>Short (0-50km)</v>
      </c>
      <c r="M156" s="7" t="str">
        <f t="shared" si="19"/>
        <v>Off-Peak</v>
      </c>
      <c r="N156" s="7" t="str">
        <f t="shared" si="20"/>
        <v>Weekday</v>
      </c>
      <c r="O156" s="7">
        <f t="shared" si="21"/>
        <v>6</v>
      </c>
      <c r="P156" s="7" t="str">
        <f t="shared" si="22"/>
        <v>Jan</v>
      </c>
      <c r="Q156" s="6">
        <f t="shared" si="23"/>
        <v>66.666666666666671</v>
      </c>
    </row>
    <row r="157" spans="1:17" x14ac:dyDescent="0.25">
      <c r="A157" s="13" t="s">
        <v>191</v>
      </c>
      <c r="B157" s="15">
        <v>45317</v>
      </c>
      <c r="C157" s="16">
        <v>0.67052083333333334</v>
      </c>
      <c r="D157" s="39">
        <v>0.75385416666666671</v>
      </c>
      <c r="E157" s="13" t="s">
        <v>15</v>
      </c>
      <c r="F157" s="13" t="s">
        <v>23</v>
      </c>
      <c r="G157" s="13" t="s">
        <v>12</v>
      </c>
      <c r="H157" s="13" t="s">
        <v>13</v>
      </c>
      <c r="I157" s="13" t="s">
        <v>19</v>
      </c>
      <c r="J157" s="13" t="s">
        <v>21</v>
      </c>
      <c r="K157" s="6">
        <f t="shared" si="18"/>
        <v>120.00000000000006</v>
      </c>
      <c r="L157" s="7" t="str" cm="1">
        <f t="array" ref="L157">_xlfn.SWITCH(J157,
  "Bentong Toll Plaza", "Short (0-50km)",
  "Karak Toll Plaza", "Short (0-50km)",
  "Lanchang Toll Plaza", "Medium (50-100km)",
  "Temerloh Toll Plaza", "Medium (50-100km)",
  "Chenor Toll Plaza", "Long (100-200km)",
  "Maran Toll Plaza", "Long (100-200km)",
  "Gambang Toll Plaza", "Long (100-200km)",
  "CHECK"
)</f>
        <v>Medium (50-100km)</v>
      </c>
      <c r="M157" s="7" t="str">
        <f t="shared" si="19"/>
        <v>Off-Peak</v>
      </c>
      <c r="N157" s="7" t="str">
        <f t="shared" si="20"/>
        <v>Weekday</v>
      </c>
      <c r="O157" s="7">
        <f t="shared" si="21"/>
        <v>16</v>
      </c>
      <c r="P157" s="7" t="str">
        <f t="shared" si="22"/>
        <v>Jan</v>
      </c>
      <c r="Q157" s="6">
        <f t="shared" si="23"/>
        <v>49.999999999999979</v>
      </c>
    </row>
    <row r="158" spans="1:17" x14ac:dyDescent="0.25">
      <c r="A158" s="13" t="s">
        <v>192</v>
      </c>
      <c r="B158" s="15">
        <v>45328</v>
      </c>
      <c r="C158" s="16">
        <v>0.50399305555555551</v>
      </c>
      <c r="D158" s="39">
        <v>0.53524305555555551</v>
      </c>
      <c r="E158" s="13" t="s">
        <v>10</v>
      </c>
      <c r="F158" s="13" t="s">
        <v>11</v>
      </c>
      <c r="G158" s="13" t="s">
        <v>16</v>
      </c>
      <c r="H158" s="13" t="s">
        <v>13</v>
      </c>
      <c r="I158" s="13" t="s">
        <v>19</v>
      </c>
      <c r="J158" s="13" t="s">
        <v>22</v>
      </c>
      <c r="K158" s="6">
        <f t="shared" si="18"/>
        <v>45</v>
      </c>
      <c r="L158" s="7" t="str" cm="1">
        <f t="array" ref="L158">_xlfn.SWITCH(J158,
  "Bentong Toll Plaza", "Short (0-50km)",
  "Karak Toll Plaza", "Short (0-50km)",
  "Lanchang Toll Plaza", "Medium (50-100km)",
  "Temerloh Toll Plaza", "Medium (50-100km)",
  "Chenor Toll Plaza", "Long (100-200km)",
  "Maran Toll Plaza", "Long (100-200km)",
  "Gambang Toll Plaza", "Long (100-200km)",
  "CHECK"
)</f>
        <v>Short (0-50km)</v>
      </c>
      <c r="M158" s="7" t="str">
        <f t="shared" si="19"/>
        <v>Off-Peak</v>
      </c>
      <c r="N158" s="7" t="str">
        <f t="shared" si="20"/>
        <v>Weekday</v>
      </c>
      <c r="O158" s="7">
        <f t="shared" si="21"/>
        <v>12</v>
      </c>
      <c r="P158" s="7" t="str">
        <f t="shared" si="22"/>
        <v>Feb</v>
      </c>
      <c r="Q158" s="6">
        <f t="shared" si="23"/>
        <v>66.666666666666671</v>
      </c>
    </row>
    <row r="159" spans="1:17" x14ac:dyDescent="0.25">
      <c r="A159" s="13" t="s">
        <v>193</v>
      </c>
      <c r="B159" s="15">
        <v>45339</v>
      </c>
      <c r="C159" s="16">
        <v>0.30914351851851851</v>
      </c>
      <c r="D159" s="39">
        <v>0.39247685185185183</v>
      </c>
      <c r="E159" s="13" t="s">
        <v>17</v>
      </c>
      <c r="F159" s="13" t="s">
        <v>18</v>
      </c>
      <c r="G159" s="13" t="s">
        <v>16</v>
      </c>
      <c r="H159" s="13" t="s">
        <v>13</v>
      </c>
      <c r="I159" s="13" t="s">
        <v>19</v>
      </c>
      <c r="J159" s="13" t="s">
        <v>20</v>
      </c>
      <c r="K159" s="6">
        <f t="shared" si="18"/>
        <v>119.99999999999997</v>
      </c>
      <c r="L159" s="7" t="str" cm="1">
        <f t="array" ref="L159">_xlfn.SWITCH(J159,
  "Bentong Toll Plaza", "Short (0-50km)",
  "Karak Toll Plaza", "Short (0-50km)",
  "Lanchang Toll Plaza", "Medium (50-100km)",
  "Temerloh Toll Plaza", "Medium (50-100km)",
  "Chenor Toll Plaza", "Long (100-200km)",
  "Maran Toll Plaza", "Long (100-200km)",
  "Gambang Toll Plaza", "Long (100-200km)",
  "CHECK"
)</f>
        <v>Long (100-200km)</v>
      </c>
      <c r="M159" s="7" t="str">
        <f t="shared" si="19"/>
        <v>Peak</v>
      </c>
      <c r="N159" s="7" t="str">
        <f t="shared" si="20"/>
        <v>Weekend</v>
      </c>
      <c r="O159" s="7">
        <f t="shared" si="21"/>
        <v>7</v>
      </c>
      <c r="P159" s="7" t="str">
        <f t="shared" si="22"/>
        <v>Feb</v>
      </c>
      <c r="Q159" s="6">
        <f t="shared" si="23"/>
        <v>100.00000000000003</v>
      </c>
    </row>
    <row r="160" spans="1:17" x14ac:dyDescent="0.25">
      <c r="A160" s="13" t="s">
        <v>194</v>
      </c>
      <c r="B160" s="15">
        <v>45350</v>
      </c>
      <c r="C160" s="16">
        <v>0.24690972222222221</v>
      </c>
      <c r="D160" s="39">
        <v>0.27815972222222224</v>
      </c>
      <c r="E160" s="13" t="s">
        <v>10</v>
      </c>
      <c r="F160" s="13" t="s">
        <v>11</v>
      </c>
      <c r="G160" s="13" t="s">
        <v>14</v>
      </c>
      <c r="H160" s="13" t="s">
        <v>13</v>
      </c>
      <c r="I160" s="13" t="s">
        <v>19</v>
      </c>
      <c r="J160" s="13" t="s">
        <v>24</v>
      </c>
      <c r="K160" s="6">
        <f t="shared" si="18"/>
        <v>45.000000000000043</v>
      </c>
      <c r="L160" s="7" t="str" cm="1">
        <f t="array" ref="L160">_xlfn.SWITCH(J160,
  "Bentong Toll Plaza", "Short (0-50km)",
  "Karak Toll Plaza", "Short (0-50km)",
  "Lanchang Toll Plaza", "Medium (50-100km)",
  "Temerloh Toll Plaza", "Medium (50-100km)",
  "Chenor Toll Plaza", "Long (100-200km)",
  "Maran Toll Plaza", "Long (100-200km)",
  "Gambang Toll Plaza", "Long (100-200km)",
  "CHECK"
)</f>
        <v>Short (0-50km)</v>
      </c>
      <c r="M160" s="7" t="str">
        <f t="shared" si="19"/>
        <v>Off-Peak</v>
      </c>
      <c r="N160" s="7" t="str">
        <f t="shared" si="20"/>
        <v>Weekday</v>
      </c>
      <c r="O160" s="7">
        <f t="shared" si="21"/>
        <v>5</v>
      </c>
      <c r="P160" s="7" t="str">
        <f t="shared" si="22"/>
        <v>Feb</v>
      </c>
      <c r="Q160" s="6">
        <f t="shared" si="23"/>
        <v>66.6666666666666</v>
      </c>
    </row>
    <row r="161" spans="1:17" x14ac:dyDescent="0.25">
      <c r="A161" s="13" t="s">
        <v>195</v>
      </c>
      <c r="B161" s="15">
        <v>45361</v>
      </c>
      <c r="C161" s="16">
        <v>0.56969907407407405</v>
      </c>
      <c r="D161" s="39">
        <v>0.65303240740740742</v>
      </c>
      <c r="E161" s="13" t="s">
        <v>15</v>
      </c>
      <c r="F161" s="13" t="s">
        <v>23</v>
      </c>
      <c r="G161" s="13" t="s">
        <v>12</v>
      </c>
      <c r="H161" s="13" t="s">
        <v>13</v>
      </c>
      <c r="I161" s="13" t="s">
        <v>19</v>
      </c>
      <c r="J161" s="13" t="s">
        <v>21</v>
      </c>
      <c r="K161" s="6">
        <f t="shared" si="18"/>
        <v>120.00000000000006</v>
      </c>
      <c r="L161" s="7" t="str" cm="1">
        <f t="array" ref="L161">_xlfn.SWITCH(J161,
  "Bentong Toll Plaza", "Short (0-50km)",
  "Karak Toll Plaza", "Short (0-50km)",
  "Lanchang Toll Plaza", "Medium (50-100km)",
  "Temerloh Toll Plaza", "Medium (50-100km)",
  "Chenor Toll Plaza", "Long (100-200km)",
  "Maran Toll Plaza", "Long (100-200km)",
  "Gambang Toll Plaza", "Long (100-200km)",
  "CHECK"
)</f>
        <v>Medium (50-100km)</v>
      </c>
      <c r="M161" s="7" t="str">
        <f t="shared" si="19"/>
        <v>Off-Peak</v>
      </c>
      <c r="N161" s="7" t="str">
        <f t="shared" si="20"/>
        <v>Weekend</v>
      </c>
      <c r="O161" s="7">
        <f t="shared" si="21"/>
        <v>13</v>
      </c>
      <c r="P161" s="7" t="str">
        <f t="shared" si="22"/>
        <v>Mar</v>
      </c>
      <c r="Q161" s="6">
        <f t="shared" si="23"/>
        <v>49.999999999999979</v>
      </c>
    </row>
    <row r="162" spans="1:17" x14ac:dyDescent="0.25">
      <c r="A162" s="13" t="s">
        <v>196</v>
      </c>
      <c r="B162" s="15">
        <v>45372</v>
      </c>
      <c r="C162" s="16">
        <v>0.25361111111111112</v>
      </c>
      <c r="D162" s="39">
        <v>0.28486111111111112</v>
      </c>
      <c r="E162" s="13" t="s">
        <v>10</v>
      </c>
      <c r="F162" s="13" t="s">
        <v>11</v>
      </c>
      <c r="G162" s="13" t="s">
        <v>16</v>
      </c>
      <c r="H162" s="13" t="s">
        <v>13</v>
      </c>
      <c r="I162" s="13" t="s">
        <v>19</v>
      </c>
      <c r="J162" s="13" t="s">
        <v>22</v>
      </c>
      <c r="K162" s="6">
        <f t="shared" si="18"/>
        <v>45</v>
      </c>
      <c r="L162" s="7" t="str" cm="1">
        <f t="array" ref="L162">_xlfn.SWITCH(J162,
  "Bentong Toll Plaza", "Short (0-50km)",
  "Karak Toll Plaza", "Short (0-50km)",
  "Lanchang Toll Plaza", "Medium (50-100km)",
  "Temerloh Toll Plaza", "Medium (50-100km)",
  "Chenor Toll Plaza", "Long (100-200km)",
  "Maran Toll Plaza", "Long (100-200km)",
  "Gambang Toll Plaza", "Long (100-200km)",
  "CHECK"
)</f>
        <v>Short (0-50km)</v>
      </c>
      <c r="M162" s="7" t="str">
        <f t="shared" si="19"/>
        <v>Off-Peak</v>
      </c>
      <c r="N162" s="7" t="str">
        <f t="shared" si="20"/>
        <v>Weekday</v>
      </c>
      <c r="O162" s="7">
        <f t="shared" si="21"/>
        <v>6</v>
      </c>
      <c r="P162" s="7" t="str">
        <f t="shared" si="22"/>
        <v>Mar</v>
      </c>
      <c r="Q162" s="6">
        <f t="shared" si="23"/>
        <v>66.666666666666671</v>
      </c>
    </row>
    <row r="163" spans="1:17" x14ac:dyDescent="0.25">
      <c r="A163" s="13" t="s">
        <v>197</v>
      </c>
      <c r="B163" s="15">
        <v>45383</v>
      </c>
      <c r="C163" s="16">
        <v>0.38385416666666666</v>
      </c>
      <c r="D163" s="39">
        <v>0.46718749999999998</v>
      </c>
      <c r="E163" s="13" t="s">
        <v>17</v>
      </c>
      <c r="F163" s="13" t="s">
        <v>18</v>
      </c>
      <c r="G163" s="13" t="s">
        <v>14</v>
      </c>
      <c r="H163" s="13" t="s">
        <v>13</v>
      </c>
      <c r="I163" s="13" t="s">
        <v>19</v>
      </c>
      <c r="J163" s="13" t="s">
        <v>20</v>
      </c>
      <c r="K163" s="6">
        <f t="shared" si="18"/>
        <v>119.99999999999997</v>
      </c>
      <c r="L163" s="7" t="str" cm="1">
        <f t="array" ref="L163">_xlfn.SWITCH(J163,
  "Bentong Toll Plaza", "Short (0-50km)",
  "Karak Toll Plaza", "Short (0-50km)",
  "Lanchang Toll Plaza", "Medium (50-100km)",
  "Temerloh Toll Plaza", "Medium (50-100km)",
  "Chenor Toll Plaza", "Long (100-200km)",
  "Maran Toll Plaza", "Long (100-200km)",
  "Gambang Toll Plaza", "Long (100-200km)",
  "CHECK"
)</f>
        <v>Long (100-200km)</v>
      </c>
      <c r="M163" s="7" t="str">
        <f t="shared" si="19"/>
        <v>Off-Peak</v>
      </c>
      <c r="N163" s="7" t="str">
        <f t="shared" si="20"/>
        <v>Weekday</v>
      </c>
      <c r="O163" s="7">
        <f t="shared" si="21"/>
        <v>9</v>
      </c>
      <c r="P163" s="7" t="str">
        <f t="shared" si="22"/>
        <v>Apr</v>
      </c>
      <c r="Q163" s="6">
        <f t="shared" si="23"/>
        <v>100.00000000000003</v>
      </c>
    </row>
    <row r="164" spans="1:17" x14ac:dyDescent="0.25">
      <c r="A164" s="13" t="s">
        <v>198</v>
      </c>
      <c r="B164" s="15">
        <v>45394</v>
      </c>
      <c r="C164" s="16">
        <v>0.36843749999999997</v>
      </c>
      <c r="D164" s="39">
        <v>0.39968749999999997</v>
      </c>
      <c r="E164" s="13" t="s">
        <v>10</v>
      </c>
      <c r="F164" s="13" t="s">
        <v>11</v>
      </c>
      <c r="G164" s="13" t="s">
        <v>14</v>
      </c>
      <c r="H164" s="13" t="s">
        <v>13</v>
      </c>
      <c r="I164" s="13" t="s">
        <v>19</v>
      </c>
      <c r="J164" s="13" t="s">
        <v>24</v>
      </c>
      <c r="K164" s="6">
        <f t="shared" si="18"/>
        <v>45</v>
      </c>
      <c r="L164" s="7" t="str" cm="1">
        <f t="array" ref="L164">_xlfn.SWITCH(J164,
  "Bentong Toll Plaza", "Short (0-50km)",
  "Karak Toll Plaza", "Short (0-50km)",
  "Lanchang Toll Plaza", "Medium (50-100km)",
  "Temerloh Toll Plaza", "Medium (50-100km)",
  "Chenor Toll Plaza", "Long (100-200km)",
  "Maran Toll Plaza", "Long (100-200km)",
  "Gambang Toll Plaza", "Long (100-200km)",
  "CHECK"
)</f>
        <v>Short (0-50km)</v>
      </c>
      <c r="M164" s="7" t="str">
        <f t="shared" si="19"/>
        <v>Peak</v>
      </c>
      <c r="N164" s="7" t="str">
        <f t="shared" si="20"/>
        <v>Weekday</v>
      </c>
      <c r="O164" s="7">
        <f t="shared" si="21"/>
        <v>8</v>
      </c>
      <c r="P164" s="7" t="str">
        <f t="shared" si="22"/>
        <v>Apr</v>
      </c>
      <c r="Q164" s="6">
        <f t="shared" si="23"/>
        <v>66.666666666666671</v>
      </c>
    </row>
    <row r="165" spans="1:17" x14ac:dyDescent="0.25">
      <c r="A165" s="13" t="s">
        <v>199</v>
      </c>
      <c r="B165" s="15">
        <v>45405</v>
      </c>
      <c r="C165" s="16">
        <v>0.62861111111111112</v>
      </c>
      <c r="D165" s="39">
        <v>0.71194444444444449</v>
      </c>
      <c r="E165" s="13" t="s">
        <v>15</v>
      </c>
      <c r="F165" s="13" t="s">
        <v>23</v>
      </c>
      <c r="G165" s="13" t="s">
        <v>12</v>
      </c>
      <c r="H165" s="13" t="s">
        <v>13</v>
      </c>
      <c r="I165" s="13" t="s">
        <v>19</v>
      </c>
      <c r="J165" s="13" t="s">
        <v>21</v>
      </c>
      <c r="K165" s="6">
        <f t="shared" si="18"/>
        <v>120.00000000000006</v>
      </c>
      <c r="L165" s="7" t="str" cm="1">
        <f t="array" ref="L165">_xlfn.SWITCH(J165,
  "Bentong Toll Plaza", "Short (0-50km)",
  "Karak Toll Plaza", "Short (0-50km)",
  "Lanchang Toll Plaza", "Medium (50-100km)",
  "Temerloh Toll Plaza", "Medium (50-100km)",
  "Chenor Toll Plaza", "Long (100-200km)",
  "Maran Toll Plaza", "Long (100-200km)",
  "Gambang Toll Plaza", "Long (100-200km)",
  "CHECK"
)</f>
        <v>Medium (50-100km)</v>
      </c>
      <c r="M165" s="7" t="str">
        <f t="shared" si="19"/>
        <v>Off-Peak</v>
      </c>
      <c r="N165" s="7" t="str">
        <f t="shared" si="20"/>
        <v>Weekday</v>
      </c>
      <c r="O165" s="7">
        <f t="shared" si="21"/>
        <v>15</v>
      </c>
      <c r="P165" s="7" t="str">
        <f t="shared" si="22"/>
        <v>Apr</v>
      </c>
      <c r="Q165" s="6">
        <f t="shared" si="23"/>
        <v>49.999999999999979</v>
      </c>
    </row>
    <row r="166" spans="1:17" x14ac:dyDescent="0.25">
      <c r="A166" s="13" t="s">
        <v>200</v>
      </c>
      <c r="B166" s="15">
        <v>45416</v>
      </c>
      <c r="C166" s="16">
        <v>0.30581018518518521</v>
      </c>
      <c r="D166" s="39">
        <v>0.33706018518518521</v>
      </c>
      <c r="E166" s="13" t="s">
        <v>10</v>
      </c>
      <c r="F166" s="13" t="s">
        <v>11</v>
      </c>
      <c r="G166" s="13" t="s">
        <v>16</v>
      </c>
      <c r="H166" s="13" t="s">
        <v>13</v>
      </c>
      <c r="I166" s="13" t="s">
        <v>19</v>
      </c>
      <c r="J166" s="13" t="s">
        <v>22</v>
      </c>
      <c r="K166" s="6">
        <f t="shared" si="18"/>
        <v>45</v>
      </c>
      <c r="L166" s="7" t="str" cm="1">
        <f t="array" ref="L166">_xlfn.SWITCH(J166,
  "Bentong Toll Plaza", "Short (0-50km)",
  "Karak Toll Plaza", "Short (0-50km)",
  "Lanchang Toll Plaza", "Medium (50-100km)",
  "Temerloh Toll Plaza", "Medium (50-100km)",
  "Chenor Toll Plaza", "Long (100-200km)",
  "Maran Toll Plaza", "Long (100-200km)",
  "Gambang Toll Plaza", "Long (100-200km)",
  "CHECK"
)</f>
        <v>Short (0-50km)</v>
      </c>
      <c r="M166" s="7" t="str">
        <f t="shared" si="19"/>
        <v>Peak</v>
      </c>
      <c r="N166" s="7" t="str">
        <f t="shared" si="20"/>
        <v>Weekend</v>
      </c>
      <c r="O166" s="7">
        <f t="shared" si="21"/>
        <v>7</v>
      </c>
      <c r="P166" s="7" t="str">
        <f t="shared" si="22"/>
        <v>May</v>
      </c>
      <c r="Q166" s="6">
        <f t="shared" si="23"/>
        <v>66.666666666666671</v>
      </c>
    </row>
    <row r="167" spans="1:17" x14ac:dyDescent="0.25">
      <c r="A167" s="13" t="s">
        <v>201</v>
      </c>
      <c r="B167" s="15">
        <v>45427</v>
      </c>
      <c r="C167" s="16">
        <v>0.42025462962962962</v>
      </c>
      <c r="D167" s="39">
        <v>0.50358796296296293</v>
      </c>
      <c r="E167" s="13" t="s">
        <v>17</v>
      </c>
      <c r="F167" s="13" t="s">
        <v>18</v>
      </c>
      <c r="G167" s="13" t="s">
        <v>16</v>
      </c>
      <c r="H167" s="13" t="s">
        <v>13</v>
      </c>
      <c r="I167" s="13" t="s">
        <v>19</v>
      </c>
      <c r="J167" s="13" t="s">
        <v>20</v>
      </c>
      <c r="K167" s="6">
        <f t="shared" si="18"/>
        <v>119.99999999999997</v>
      </c>
      <c r="L167" s="7" t="str" cm="1">
        <f t="array" ref="L167">_xlfn.SWITCH(J167,
  "Bentong Toll Plaza", "Short (0-50km)",
  "Karak Toll Plaza", "Short (0-50km)",
  "Lanchang Toll Plaza", "Medium (50-100km)",
  "Temerloh Toll Plaza", "Medium (50-100km)",
  "Chenor Toll Plaza", "Long (100-200km)",
  "Maran Toll Plaza", "Long (100-200km)",
  "Gambang Toll Plaza", "Long (100-200km)",
  "CHECK"
)</f>
        <v>Long (100-200km)</v>
      </c>
      <c r="M167" s="7" t="str">
        <f t="shared" si="19"/>
        <v>Off-Peak</v>
      </c>
      <c r="N167" s="7" t="str">
        <f t="shared" si="20"/>
        <v>Weekday</v>
      </c>
      <c r="O167" s="7">
        <f t="shared" si="21"/>
        <v>10</v>
      </c>
      <c r="P167" s="7" t="str">
        <f t="shared" si="22"/>
        <v>May</v>
      </c>
      <c r="Q167" s="6">
        <f t="shared" si="23"/>
        <v>100.00000000000003</v>
      </c>
    </row>
    <row r="168" spans="1:17" x14ac:dyDescent="0.25">
      <c r="A168" s="13" t="s">
        <v>202</v>
      </c>
      <c r="B168" s="15">
        <v>45438</v>
      </c>
      <c r="C168" s="16">
        <v>0.25885416666666666</v>
      </c>
      <c r="D168" s="39">
        <v>0.29010416666666666</v>
      </c>
      <c r="E168" s="13" t="s">
        <v>10</v>
      </c>
      <c r="F168" s="13" t="s">
        <v>11</v>
      </c>
      <c r="G168" s="13" t="s">
        <v>14</v>
      </c>
      <c r="H168" s="13" t="s">
        <v>13</v>
      </c>
      <c r="I168" s="13" t="s">
        <v>19</v>
      </c>
      <c r="J168" s="13" t="s">
        <v>24</v>
      </c>
      <c r="K168" s="6">
        <f t="shared" si="18"/>
        <v>45</v>
      </c>
      <c r="L168" s="7" t="str" cm="1">
        <f t="array" ref="L168">_xlfn.SWITCH(J168,
  "Bentong Toll Plaza", "Short (0-50km)",
  "Karak Toll Plaza", "Short (0-50km)",
  "Lanchang Toll Plaza", "Medium (50-100km)",
  "Temerloh Toll Plaza", "Medium (50-100km)",
  "Chenor Toll Plaza", "Long (100-200km)",
  "Maran Toll Plaza", "Long (100-200km)",
  "Gambang Toll Plaza", "Long (100-200km)",
  "CHECK"
)</f>
        <v>Short (0-50km)</v>
      </c>
      <c r="M168" s="7" t="str">
        <f t="shared" si="19"/>
        <v>Off-Peak</v>
      </c>
      <c r="N168" s="7" t="str">
        <f t="shared" si="20"/>
        <v>Weekend</v>
      </c>
      <c r="O168" s="7">
        <f t="shared" si="21"/>
        <v>6</v>
      </c>
      <c r="P168" s="7" t="str">
        <f t="shared" si="22"/>
        <v>May</v>
      </c>
      <c r="Q168" s="6">
        <f t="shared" si="23"/>
        <v>66.666666666666671</v>
      </c>
    </row>
    <row r="169" spans="1:17" x14ac:dyDescent="0.25">
      <c r="A169" s="13" t="s">
        <v>203</v>
      </c>
      <c r="B169" s="15">
        <v>45449</v>
      </c>
      <c r="C169" s="16">
        <v>0.71913194444444439</v>
      </c>
      <c r="D169" s="39">
        <v>0.80246527777777776</v>
      </c>
      <c r="E169" s="13" t="s">
        <v>15</v>
      </c>
      <c r="F169" s="13" t="s">
        <v>23</v>
      </c>
      <c r="G169" s="13" t="s">
        <v>12</v>
      </c>
      <c r="H169" s="13" t="s">
        <v>13</v>
      </c>
      <c r="I169" s="13" t="s">
        <v>19</v>
      </c>
      <c r="J169" s="13" t="s">
        <v>21</v>
      </c>
      <c r="K169" s="6">
        <f t="shared" si="18"/>
        <v>120.00000000000006</v>
      </c>
      <c r="L169" s="7" t="str" cm="1">
        <f t="array" ref="L169">_xlfn.SWITCH(J169,
  "Bentong Toll Plaza", "Short (0-50km)",
  "Karak Toll Plaza", "Short (0-50km)",
  "Lanchang Toll Plaza", "Medium (50-100km)",
  "Temerloh Toll Plaza", "Medium (50-100km)",
  "Chenor Toll Plaza", "Long (100-200km)",
  "Maran Toll Plaza", "Long (100-200km)",
  "Gambang Toll Plaza", "Long (100-200km)",
  "CHECK"
)</f>
        <v>Medium (50-100km)</v>
      </c>
      <c r="M169" s="7" t="str">
        <f t="shared" si="19"/>
        <v>Peak</v>
      </c>
      <c r="N169" s="7" t="str">
        <f t="shared" si="20"/>
        <v>Weekday</v>
      </c>
      <c r="O169" s="7">
        <f t="shared" si="21"/>
        <v>17</v>
      </c>
      <c r="P169" s="7" t="str">
        <f t="shared" si="22"/>
        <v>Jun</v>
      </c>
      <c r="Q169" s="6">
        <f t="shared" si="23"/>
        <v>49.999999999999979</v>
      </c>
    </row>
    <row r="170" spans="1:17" x14ac:dyDescent="0.25">
      <c r="A170" s="13" t="s">
        <v>204</v>
      </c>
      <c r="B170" s="15">
        <v>45460</v>
      </c>
      <c r="C170" s="16">
        <v>0.53486111111111112</v>
      </c>
      <c r="D170" s="39">
        <v>0.56611111111111112</v>
      </c>
      <c r="E170" s="13" t="s">
        <v>10</v>
      </c>
      <c r="F170" s="13" t="s">
        <v>11</v>
      </c>
      <c r="G170" s="13" t="s">
        <v>16</v>
      </c>
      <c r="H170" s="13" t="s">
        <v>13</v>
      </c>
      <c r="I170" s="13" t="s">
        <v>19</v>
      </c>
      <c r="J170" s="13" t="s">
        <v>22</v>
      </c>
      <c r="K170" s="6">
        <f t="shared" si="18"/>
        <v>45</v>
      </c>
      <c r="L170" s="7" t="str" cm="1">
        <f t="array" ref="L170">_xlfn.SWITCH(J170,
  "Bentong Toll Plaza", "Short (0-50km)",
  "Karak Toll Plaza", "Short (0-50km)",
  "Lanchang Toll Plaza", "Medium (50-100km)",
  "Temerloh Toll Plaza", "Medium (50-100km)",
  "Chenor Toll Plaza", "Long (100-200km)",
  "Maran Toll Plaza", "Long (100-200km)",
  "Gambang Toll Plaza", "Long (100-200km)",
  "CHECK"
)</f>
        <v>Short (0-50km)</v>
      </c>
      <c r="M170" s="7" t="str">
        <f t="shared" si="19"/>
        <v>Off-Peak</v>
      </c>
      <c r="N170" s="7" t="str">
        <f t="shared" si="20"/>
        <v>Weekday</v>
      </c>
      <c r="O170" s="7">
        <f t="shared" si="21"/>
        <v>12</v>
      </c>
      <c r="P170" s="7" t="str">
        <f t="shared" si="22"/>
        <v>Jun</v>
      </c>
      <c r="Q170" s="6">
        <f t="shared" si="23"/>
        <v>66.666666666666671</v>
      </c>
    </row>
    <row r="171" spans="1:17" x14ac:dyDescent="0.25">
      <c r="A171" s="13" t="s">
        <v>205</v>
      </c>
      <c r="B171" s="15">
        <v>45471</v>
      </c>
      <c r="C171" s="16">
        <v>0.29539351851851853</v>
      </c>
      <c r="D171" s="39">
        <v>0.37872685185185184</v>
      </c>
      <c r="E171" s="13" t="s">
        <v>17</v>
      </c>
      <c r="F171" s="13" t="s">
        <v>18</v>
      </c>
      <c r="G171" s="13" t="s">
        <v>16</v>
      </c>
      <c r="H171" s="13" t="s">
        <v>13</v>
      </c>
      <c r="I171" s="13" t="s">
        <v>19</v>
      </c>
      <c r="J171" s="13" t="s">
        <v>20</v>
      </c>
      <c r="K171" s="6">
        <f t="shared" si="18"/>
        <v>119.99999999999997</v>
      </c>
      <c r="L171" s="7" t="str" cm="1">
        <f t="array" ref="L171">_xlfn.SWITCH(J171,
  "Bentong Toll Plaza", "Short (0-50km)",
  "Karak Toll Plaza", "Short (0-50km)",
  "Lanchang Toll Plaza", "Medium (50-100km)",
  "Temerloh Toll Plaza", "Medium (50-100km)",
  "Chenor Toll Plaza", "Long (100-200km)",
  "Maran Toll Plaza", "Long (100-200km)",
  "Gambang Toll Plaza", "Long (100-200km)",
  "CHECK"
)</f>
        <v>Long (100-200km)</v>
      </c>
      <c r="M171" s="7" t="str">
        <f t="shared" si="19"/>
        <v>Peak</v>
      </c>
      <c r="N171" s="7" t="str">
        <f t="shared" si="20"/>
        <v>Weekday</v>
      </c>
      <c r="O171" s="7">
        <f t="shared" si="21"/>
        <v>7</v>
      </c>
      <c r="P171" s="7" t="str">
        <f t="shared" si="22"/>
        <v>Jun</v>
      </c>
      <c r="Q171" s="6">
        <f t="shared" si="23"/>
        <v>100.00000000000003</v>
      </c>
    </row>
    <row r="172" spans="1:17" x14ac:dyDescent="0.25">
      <c r="A172" s="13" t="s">
        <v>206</v>
      </c>
      <c r="B172" s="15">
        <v>45295</v>
      </c>
      <c r="C172" s="16">
        <v>0.25858796296296294</v>
      </c>
      <c r="D172" s="39">
        <v>0.28983796296296294</v>
      </c>
      <c r="E172" s="13" t="s">
        <v>10</v>
      </c>
      <c r="F172" s="13" t="s">
        <v>11</v>
      </c>
      <c r="G172" s="13" t="s">
        <v>16</v>
      </c>
      <c r="H172" s="13" t="s">
        <v>13</v>
      </c>
      <c r="I172" s="13" t="s">
        <v>19</v>
      </c>
      <c r="J172" s="13" t="s">
        <v>24</v>
      </c>
      <c r="K172" s="6">
        <f t="shared" ref="K172:K203" si="24">IF(D172&lt;C172, ((D172+1)-C172)*1440, (D172-C172)*1440)</f>
        <v>45</v>
      </c>
      <c r="L172" s="7" t="str" cm="1">
        <f t="array" ref="L172">_xlfn.SWITCH(J172,
  "Bentong Toll Plaza", "Short (0-50km)",
  "Karak Toll Plaza", "Short (0-50km)",
  "Lanchang Toll Plaza", "Medium (50-100km)",
  "Temerloh Toll Plaza", "Medium (50-100km)",
  "Chenor Toll Plaza", "Long (100-200km)",
  "Maran Toll Plaza", "Long (100-200km)",
  "Gambang Toll Plaza", "Long (100-200km)",
  "CHECK"
)</f>
        <v>Short (0-50km)</v>
      </c>
      <c r="M172" s="7" t="str">
        <f t="shared" ref="M172:M203" si="25">IF(OR(
    AND(MOD(C172,1)&gt;=TIME(7,0,0), MOD(C172,1)&lt;=TIME(9,0,0)),
    AND(MOD(C172,1)&gt;=TIME(17,0,0), MOD(C172,1)&lt;=TIME(19,0,0))
), "Peak", "Off-Peak")</f>
        <v>Off-Peak</v>
      </c>
      <c r="N172" s="7" t="str">
        <f t="shared" ref="N172:N203" si="26">IF(WEEKDAY(B172,2)&gt;=6, "Weekend", "Weekday")</f>
        <v>Weekday</v>
      </c>
      <c r="O172" s="7">
        <f t="shared" ref="O172:O203" si="27">HOUR(C172)</f>
        <v>6</v>
      </c>
      <c r="P172" s="7" t="str">
        <f t="shared" ref="P172:P203" si="28">TEXT(B172,"mmm")</f>
        <v>Jan</v>
      </c>
      <c r="Q172" s="6">
        <f t="shared" ref="Q172:Q203" si="29">IF(L172="Short (0-50km)", (50/(K172/60)),
 IF(L172="Medium (50-100km)", (100/(K172/60)),
 IF(L172="Long (100-200km)", (200/(K172/60)),
 "Invalid")))</f>
        <v>66.666666666666671</v>
      </c>
    </row>
    <row r="173" spans="1:17" x14ac:dyDescent="0.25">
      <c r="A173" s="13" t="s">
        <v>207</v>
      </c>
      <c r="B173" s="15">
        <v>45306</v>
      </c>
      <c r="C173" s="16">
        <v>0.41010416666666666</v>
      </c>
      <c r="D173" s="39">
        <v>0.49343749999999997</v>
      </c>
      <c r="E173" s="13" t="s">
        <v>17</v>
      </c>
      <c r="F173" s="13" t="s">
        <v>18</v>
      </c>
      <c r="G173" s="13" t="s">
        <v>14</v>
      </c>
      <c r="H173" s="13" t="s">
        <v>13</v>
      </c>
      <c r="I173" s="13" t="s">
        <v>19</v>
      </c>
      <c r="J173" s="13" t="s">
        <v>20</v>
      </c>
      <c r="K173" s="6">
        <f t="shared" si="24"/>
        <v>119.99999999999997</v>
      </c>
      <c r="L173" s="7" t="str" cm="1">
        <f t="array" ref="L173">_xlfn.SWITCH(J173,
  "Bentong Toll Plaza", "Short (0-50km)",
  "Karak Toll Plaza", "Short (0-50km)",
  "Lanchang Toll Plaza", "Medium (50-100km)",
  "Temerloh Toll Plaza", "Medium (50-100km)",
  "Chenor Toll Plaza", "Long (100-200km)",
  "Maran Toll Plaza", "Long (100-200km)",
  "Gambang Toll Plaza", "Long (100-200km)",
  "CHECK"
)</f>
        <v>Long (100-200km)</v>
      </c>
      <c r="M173" s="7" t="str">
        <f t="shared" si="25"/>
        <v>Off-Peak</v>
      </c>
      <c r="N173" s="7" t="str">
        <f t="shared" si="26"/>
        <v>Weekday</v>
      </c>
      <c r="O173" s="7">
        <f t="shared" si="27"/>
        <v>9</v>
      </c>
      <c r="P173" s="7" t="str">
        <f t="shared" si="28"/>
        <v>Jan</v>
      </c>
      <c r="Q173" s="6">
        <f t="shared" si="29"/>
        <v>100.00000000000003</v>
      </c>
    </row>
    <row r="174" spans="1:17" x14ac:dyDescent="0.25">
      <c r="A174" s="13" t="s">
        <v>208</v>
      </c>
      <c r="B174" s="15">
        <v>45317</v>
      </c>
      <c r="C174" s="16">
        <v>0.71194444444444449</v>
      </c>
      <c r="D174" s="39">
        <v>0.79527777777777775</v>
      </c>
      <c r="E174" s="13" t="s">
        <v>15</v>
      </c>
      <c r="F174" s="13" t="s">
        <v>23</v>
      </c>
      <c r="G174" s="13" t="s">
        <v>12</v>
      </c>
      <c r="H174" s="13" t="s">
        <v>13</v>
      </c>
      <c r="I174" s="13" t="s">
        <v>19</v>
      </c>
      <c r="J174" s="13" t="s">
        <v>21</v>
      </c>
      <c r="K174" s="6">
        <f t="shared" si="24"/>
        <v>119.99999999999989</v>
      </c>
      <c r="L174" s="7" t="str" cm="1">
        <f t="array" ref="L174">_xlfn.SWITCH(J174,
  "Bentong Toll Plaza", "Short (0-50km)",
  "Karak Toll Plaza", "Short (0-50km)",
  "Lanchang Toll Plaza", "Medium (50-100km)",
  "Temerloh Toll Plaza", "Medium (50-100km)",
  "Chenor Toll Plaza", "Long (100-200km)",
  "Maran Toll Plaza", "Long (100-200km)",
  "Gambang Toll Plaza", "Long (100-200km)",
  "CHECK"
)</f>
        <v>Medium (50-100km)</v>
      </c>
      <c r="M174" s="7" t="str">
        <f t="shared" si="25"/>
        <v>Peak</v>
      </c>
      <c r="N174" s="7" t="str">
        <f t="shared" si="26"/>
        <v>Weekday</v>
      </c>
      <c r="O174" s="7">
        <f t="shared" si="27"/>
        <v>17</v>
      </c>
      <c r="P174" s="7" t="str">
        <f t="shared" si="28"/>
        <v>Jan</v>
      </c>
      <c r="Q174" s="6">
        <f t="shared" si="29"/>
        <v>50.00000000000005</v>
      </c>
    </row>
    <row r="175" spans="1:17" x14ac:dyDescent="0.25">
      <c r="A175" s="13" t="s">
        <v>209</v>
      </c>
      <c r="B175" s="15">
        <v>45328</v>
      </c>
      <c r="C175" s="16">
        <v>0.53483796296296293</v>
      </c>
      <c r="D175" s="39">
        <v>0.56608796296296293</v>
      </c>
      <c r="E175" s="13" t="s">
        <v>10</v>
      </c>
      <c r="F175" s="13" t="s">
        <v>11</v>
      </c>
      <c r="G175" s="13" t="s">
        <v>16</v>
      </c>
      <c r="H175" s="13" t="s">
        <v>13</v>
      </c>
      <c r="I175" s="13" t="s">
        <v>19</v>
      </c>
      <c r="J175" s="13" t="s">
        <v>22</v>
      </c>
      <c r="K175" s="6">
        <f t="shared" si="24"/>
        <v>45</v>
      </c>
      <c r="L175" s="7" t="str" cm="1">
        <f t="array" ref="L175">_xlfn.SWITCH(J175,
  "Bentong Toll Plaza", "Short (0-50km)",
  "Karak Toll Plaza", "Short (0-50km)",
  "Lanchang Toll Plaza", "Medium (50-100km)",
  "Temerloh Toll Plaza", "Medium (50-100km)",
  "Chenor Toll Plaza", "Long (100-200km)",
  "Maran Toll Plaza", "Long (100-200km)",
  "Gambang Toll Plaza", "Long (100-200km)",
  "CHECK"
)</f>
        <v>Short (0-50km)</v>
      </c>
      <c r="M175" s="7" t="str">
        <f t="shared" si="25"/>
        <v>Off-Peak</v>
      </c>
      <c r="N175" s="7" t="str">
        <f t="shared" si="26"/>
        <v>Weekday</v>
      </c>
      <c r="O175" s="7">
        <f t="shared" si="27"/>
        <v>12</v>
      </c>
      <c r="P175" s="7" t="str">
        <f t="shared" si="28"/>
        <v>Feb</v>
      </c>
      <c r="Q175" s="6">
        <f t="shared" si="29"/>
        <v>66.666666666666671</v>
      </c>
    </row>
    <row r="176" spans="1:17" x14ac:dyDescent="0.25">
      <c r="A176" s="13" t="s">
        <v>210</v>
      </c>
      <c r="B176" s="15">
        <v>45340</v>
      </c>
      <c r="C176" s="16">
        <v>0.30246527777777776</v>
      </c>
      <c r="D176" s="39">
        <v>0.33371527777777776</v>
      </c>
      <c r="E176" s="13" t="s">
        <v>10</v>
      </c>
      <c r="F176" s="13" t="s">
        <v>11</v>
      </c>
      <c r="G176" s="13" t="s">
        <v>14</v>
      </c>
      <c r="H176" s="13" t="s">
        <v>13</v>
      </c>
      <c r="I176" s="13" t="s">
        <v>19</v>
      </c>
      <c r="J176" s="13" t="s">
        <v>24</v>
      </c>
      <c r="K176" s="6">
        <f t="shared" si="24"/>
        <v>45</v>
      </c>
      <c r="L176" s="7" t="str" cm="1">
        <f t="array" ref="L176">_xlfn.SWITCH(J176,
  "Bentong Toll Plaza", "Short (0-50km)",
  "Karak Toll Plaza", "Short (0-50km)",
  "Lanchang Toll Plaza", "Medium (50-100km)",
  "Temerloh Toll Plaza", "Medium (50-100km)",
  "Chenor Toll Plaza", "Long (100-200km)",
  "Maran Toll Plaza", "Long (100-200km)",
  "Gambang Toll Plaza", "Long (100-200km)",
  "CHECK"
)</f>
        <v>Short (0-50km)</v>
      </c>
      <c r="M176" s="7" t="str">
        <f t="shared" si="25"/>
        <v>Peak</v>
      </c>
      <c r="N176" s="7" t="str">
        <f t="shared" si="26"/>
        <v>Weekend</v>
      </c>
      <c r="O176" s="7">
        <f t="shared" si="27"/>
        <v>7</v>
      </c>
      <c r="P176" s="7" t="str">
        <f t="shared" si="28"/>
        <v>Feb</v>
      </c>
      <c r="Q176" s="6">
        <f t="shared" si="29"/>
        <v>66.666666666666671</v>
      </c>
    </row>
    <row r="177" spans="1:17" x14ac:dyDescent="0.25">
      <c r="A177" s="13" t="s">
        <v>211</v>
      </c>
      <c r="B177" s="15">
        <v>45350</v>
      </c>
      <c r="C177" s="16">
        <v>0.37861111111111112</v>
      </c>
      <c r="D177" s="39">
        <v>0.46194444444444444</v>
      </c>
      <c r="E177" s="13" t="s">
        <v>17</v>
      </c>
      <c r="F177" s="13" t="s">
        <v>18</v>
      </c>
      <c r="G177" s="13" t="s">
        <v>16</v>
      </c>
      <c r="H177" s="13" t="s">
        <v>13</v>
      </c>
      <c r="I177" s="13" t="s">
        <v>19</v>
      </c>
      <c r="J177" s="13" t="s">
        <v>20</v>
      </c>
      <c r="K177" s="6">
        <f t="shared" si="24"/>
        <v>119.99999999999997</v>
      </c>
      <c r="L177" s="7" t="str" cm="1">
        <f t="array" ref="L177">_xlfn.SWITCH(J177,
  "Bentong Toll Plaza", "Short (0-50km)",
  "Karak Toll Plaza", "Short (0-50km)",
  "Lanchang Toll Plaza", "Medium (50-100km)",
  "Temerloh Toll Plaza", "Medium (50-100km)",
  "Chenor Toll Plaza", "Long (100-200km)",
  "Maran Toll Plaza", "Long (100-200km)",
  "Gambang Toll Plaza", "Long (100-200km)",
  "CHECK"
)</f>
        <v>Long (100-200km)</v>
      </c>
      <c r="M177" s="7" t="str">
        <f t="shared" si="25"/>
        <v>Off-Peak</v>
      </c>
      <c r="N177" s="7" t="str">
        <f t="shared" si="26"/>
        <v>Weekday</v>
      </c>
      <c r="O177" s="7">
        <f t="shared" si="27"/>
        <v>9</v>
      </c>
      <c r="P177" s="7" t="str">
        <f t="shared" si="28"/>
        <v>Feb</v>
      </c>
      <c r="Q177" s="6">
        <f t="shared" si="29"/>
        <v>100.00000000000003</v>
      </c>
    </row>
    <row r="178" spans="1:17" x14ac:dyDescent="0.25">
      <c r="A178" s="13" t="s">
        <v>212</v>
      </c>
      <c r="B178" s="15">
        <v>45362</v>
      </c>
      <c r="C178" s="16">
        <v>0.2434375</v>
      </c>
      <c r="D178" s="39">
        <v>0.27468749999999997</v>
      </c>
      <c r="E178" s="13" t="s">
        <v>10</v>
      </c>
      <c r="F178" s="13" t="s">
        <v>11</v>
      </c>
      <c r="G178" s="13" t="s">
        <v>14</v>
      </c>
      <c r="H178" s="13" t="s">
        <v>13</v>
      </c>
      <c r="I178" s="13" t="s">
        <v>19</v>
      </c>
      <c r="J178" s="13" t="s">
        <v>22</v>
      </c>
      <c r="K178" s="6">
        <f t="shared" si="24"/>
        <v>44.999999999999957</v>
      </c>
      <c r="L178" s="7" t="str" cm="1">
        <f t="array" ref="L178">_xlfn.SWITCH(J178,
  "Bentong Toll Plaza", "Short (0-50km)",
  "Karak Toll Plaza", "Short (0-50km)",
  "Lanchang Toll Plaza", "Medium (50-100km)",
  "Temerloh Toll Plaza", "Medium (50-100km)",
  "Chenor Toll Plaza", "Long (100-200km)",
  "Maran Toll Plaza", "Long (100-200km)",
  "Gambang Toll Plaza", "Long (100-200km)",
  "CHECK"
)</f>
        <v>Short (0-50km)</v>
      </c>
      <c r="M178" s="7" t="str">
        <f t="shared" si="25"/>
        <v>Off-Peak</v>
      </c>
      <c r="N178" s="7" t="str">
        <f t="shared" si="26"/>
        <v>Weekday</v>
      </c>
      <c r="O178" s="7">
        <f t="shared" si="27"/>
        <v>5</v>
      </c>
      <c r="P178" s="7" t="str">
        <f t="shared" si="28"/>
        <v>Mar</v>
      </c>
      <c r="Q178" s="6">
        <f t="shared" si="29"/>
        <v>66.666666666666728</v>
      </c>
    </row>
    <row r="179" spans="1:17" x14ac:dyDescent="0.25">
      <c r="A179" s="13" t="s">
        <v>213</v>
      </c>
      <c r="B179" s="15">
        <v>45373</v>
      </c>
      <c r="C179" s="16">
        <v>0.55052083333333335</v>
      </c>
      <c r="D179" s="39">
        <v>0.63385416666666672</v>
      </c>
      <c r="E179" s="13" t="s">
        <v>15</v>
      </c>
      <c r="F179" s="13" t="s">
        <v>23</v>
      </c>
      <c r="G179" s="13" t="s">
        <v>12</v>
      </c>
      <c r="H179" s="13" t="s">
        <v>13</v>
      </c>
      <c r="I179" s="13" t="s">
        <v>19</v>
      </c>
      <c r="J179" s="13" t="s">
        <v>21</v>
      </c>
      <c r="K179" s="6">
        <f t="shared" si="24"/>
        <v>120.00000000000006</v>
      </c>
      <c r="L179" s="7" t="str" cm="1">
        <f t="array" ref="L179">_xlfn.SWITCH(J179,
  "Bentong Toll Plaza", "Short (0-50km)",
  "Karak Toll Plaza", "Short (0-50km)",
  "Lanchang Toll Plaza", "Medium (50-100km)",
  "Temerloh Toll Plaza", "Medium (50-100km)",
  "Chenor Toll Plaza", "Long (100-200km)",
  "Maran Toll Plaza", "Long (100-200km)",
  "Gambang Toll Plaza", "Long (100-200km)",
  "CHECK"
)</f>
        <v>Medium (50-100km)</v>
      </c>
      <c r="M179" s="7" t="str">
        <f t="shared" si="25"/>
        <v>Off-Peak</v>
      </c>
      <c r="N179" s="7" t="str">
        <f t="shared" si="26"/>
        <v>Weekday</v>
      </c>
      <c r="O179" s="7">
        <f t="shared" si="27"/>
        <v>13</v>
      </c>
      <c r="P179" s="7" t="str">
        <f t="shared" si="28"/>
        <v>Mar</v>
      </c>
      <c r="Q179" s="6">
        <f t="shared" si="29"/>
        <v>49.999999999999979</v>
      </c>
    </row>
    <row r="180" spans="1:17" x14ac:dyDescent="0.25">
      <c r="A180" s="13" t="s">
        <v>214</v>
      </c>
      <c r="B180" s="15">
        <v>45385</v>
      </c>
      <c r="C180" s="16">
        <v>0.26761574074074074</v>
      </c>
      <c r="D180" s="39">
        <v>0.29886574074074074</v>
      </c>
      <c r="E180" s="13" t="s">
        <v>10</v>
      </c>
      <c r="F180" s="13" t="s">
        <v>11</v>
      </c>
      <c r="G180" s="13" t="s">
        <v>16</v>
      </c>
      <c r="H180" s="13" t="s">
        <v>13</v>
      </c>
      <c r="I180" s="13" t="s">
        <v>19</v>
      </c>
      <c r="J180" s="13" t="s">
        <v>24</v>
      </c>
      <c r="K180" s="6">
        <f t="shared" si="24"/>
        <v>45</v>
      </c>
      <c r="L180" s="7" t="str" cm="1">
        <f t="array" ref="L180">_xlfn.SWITCH(J180,
  "Bentong Toll Plaza", "Short (0-50km)",
  "Karak Toll Plaza", "Short (0-50km)",
  "Lanchang Toll Plaza", "Medium (50-100km)",
  "Temerloh Toll Plaza", "Medium (50-100km)",
  "Chenor Toll Plaza", "Long (100-200km)",
  "Maran Toll Plaza", "Long (100-200km)",
  "Gambang Toll Plaza", "Long (100-200km)",
  "CHECK"
)</f>
        <v>Short (0-50km)</v>
      </c>
      <c r="M180" s="7" t="str">
        <f t="shared" si="25"/>
        <v>Off-Peak</v>
      </c>
      <c r="N180" s="7" t="str">
        <f t="shared" si="26"/>
        <v>Weekday</v>
      </c>
      <c r="O180" s="7">
        <f t="shared" si="27"/>
        <v>6</v>
      </c>
      <c r="P180" s="7" t="str">
        <f t="shared" si="28"/>
        <v>Apr</v>
      </c>
      <c r="Q180" s="6">
        <f t="shared" si="29"/>
        <v>66.666666666666671</v>
      </c>
    </row>
    <row r="181" spans="1:17" x14ac:dyDescent="0.25">
      <c r="A181" s="13" t="s">
        <v>215</v>
      </c>
      <c r="B181" s="15">
        <v>45396</v>
      </c>
      <c r="C181" s="16">
        <v>0.4445601851851852</v>
      </c>
      <c r="D181" s="39">
        <v>0.52789351851851851</v>
      </c>
      <c r="E181" s="13" t="s">
        <v>17</v>
      </c>
      <c r="F181" s="13" t="s">
        <v>18</v>
      </c>
      <c r="G181" s="13" t="s">
        <v>14</v>
      </c>
      <c r="H181" s="13" t="s">
        <v>13</v>
      </c>
      <c r="I181" s="13" t="s">
        <v>19</v>
      </c>
      <c r="J181" s="13" t="s">
        <v>20</v>
      </c>
      <c r="K181" s="6">
        <f t="shared" si="24"/>
        <v>119.99999999999997</v>
      </c>
      <c r="L181" s="7" t="str" cm="1">
        <f t="array" ref="L181">_xlfn.SWITCH(J181,
  "Bentong Toll Plaza", "Short (0-50km)",
  "Karak Toll Plaza", "Short (0-50km)",
  "Lanchang Toll Plaza", "Medium (50-100km)",
  "Temerloh Toll Plaza", "Medium (50-100km)",
  "Chenor Toll Plaza", "Long (100-200km)",
  "Maran Toll Plaza", "Long (100-200km)",
  "Gambang Toll Plaza", "Long (100-200km)",
  "CHECK"
)</f>
        <v>Long (100-200km)</v>
      </c>
      <c r="M181" s="7" t="str">
        <f t="shared" si="25"/>
        <v>Off-Peak</v>
      </c>
      <c r="N181" s="7" t="str">
        <f t="shared" si="26"/>
        <v>Weekend</v>
      </c>
      <c r="O181" s="7">
        <f t="shared" si="27"/>
        <v>10</v>
      </c>
      <c r="P181" s="7" t="str">
        <f t="shared" si="28"/>
        <v>Apr</v>
      </c>
      <c r="Q181" s="6">
        <f t="shared" si="29"/>
        <v>100.00000000000003</v>
      </c>
    </row>
    <row r="182" spans="1:17" x14ac:dyDescent="0.25">
      <c r="A182" s="13" t="s">
        <v>216</v>
      </c>
      <c r="B182" s="15">
        <v>45407</v>
      </c>
      <c r="C182" s="16">
        <v>0.33718749999999997</v>
      </c>
      <c r="D182" s="39">
        <v>0.36843749999999997</v>
      </c>
      <c r="E182" s="13" t="s">
        <v>10</v>
      </c>
      <c r="F182" s="13" t="s">
        <v>11</v>
      </c>
      <c r="G182" s="13" t="s">
        <v>14</v>
      </c>
      <c r="H182" s="13" t="s">
        <v>13</v>
      </c>
      <c r="I182" s="13" t="s">
        <v>19</v>
      </c>
      <c r="J182" s="13" t="s">
        <v>22</v>
      </c>
      <c r="K182" s="6">
        <f t="shared" si="24"/>
        <v>45</v>
      </c>
      <c r="L182" s="7" t="str" cm="1">
        <f t="array" ref="L182">_xlfn.SWITCH(J182,
  "Bentong Toll Plaza", "Short (0-50km)",
  "Karak Toll Plaza", "Short (0-50km)",
  "Lanchang Toll Plaza", "Medium (50-100km)",
  "Temerloh Toll Plaza", "Medium (50-100km)",
  "Chenor Toll Plaza", "Long (100-200km)",
  "Maran Toll Plaza", "Long (100-200km)",
  "Gambang Toll Plaza", "Long (100-200km)",
  "CHECK"
)</f>
        <v>Short (0-50km)</v>
      </c>
      <c r="M182" s="7" t="str">
        <f t="shared" si="25"/>
        <v>Peak</v>
      </c>
      <c r="N182" s="7" t="str">
        <f t="shared" si="26"/>
        <v>Weekday</v>
      </c>
      <c r="O182" s="7">
        <f t="shared" si="27"/>
        <v>8</v>
      </c>
      <c r="P182" s="7" t="str">
        <f t="shared" si="28"/>
        <v>Apr</v>
      </c>
      <c r="Q182" s="6">
        <f t="shared" si="29"/>
        <v>66.666666666666671</v>
      </c>
    </row>
    <row r="183" spans="1:17" x14ac:dyDescent="0.25">
      <c r="A183" s="13" t="s">
        <v>217</v>
      </c>
      <c r="B183" s="15">
        <v>45418</v>
      </c>
      <c r="C183" s="16">
        <v>0.646087962962963</v>
      </c>
      <c r="D183" s="39">
        <v>0.72942129629629626</v>
      </c>
      <c r="E183" s="13" t="s">
        <v>15</v>
      </c>
      <c r="F183" s="13" t="s">
        <v>23</v>
      </c>
      <c r="G183" s="13" t="s">
        <v>12</v>
      </c>
      <c r="H183" s="13" t="s">
        <v>13</v>
      </c>
      <c r="I183" s="13" t="s">
        <v>19</v>
      </c>
      <c r="J183" s="13" t="s">
        <v>21</v>
      </c>
      <c r="K183" s="6">
        <f t="shared" si="24"/>
        <v>119.99999999999989</v>
      </c>
      <c r="L183" s="7" t="str" cm="1">
        <f t="array" ref="L183">_xlfn.SWITCH(J183,
  "Bentong Toll Plaza", "Short (0-50km)",
  "Karak Toll Plaza", "Short (0-50km)",
  "Lanchang Toll Plaza", "Medium (50-100km)",
  "Temerloh Toll Plaza", "Medium (50-100km)",
  "Chenor Toll Plaza", "Long (100-200km)",
  "Maran Toll Plaza", "Long (100-200km)",
  "Gambang Toll Plaza", "Long (100-200km)",
  "CHECK"
)</f>
        <v>Medium (50-100km)</v>
      </c>
      <c r="M183" s="7" t="str">
        <f t="shared" si="25"/>
        <v>Off-Peak</v>
      </c>
      <c r="N183" s="7" t="str">
        <f t="shared" si="26"/>
        <v>Weekday</v>
      </c>
      <c r="O183" s="7">
        <f t="shared" si="27"/>
        <v>15</v>
      </c>
      <c r="P183" s="7" t="str">
        <f t="shared" si="28"/>
        <v>May</v>
      </c>
      <c r="Q183" s="6">
        <f t="shared" si="29"/>
        <v>50.00000000000005</v>
      </c>
    </row>
    <row r="184" spans="1:17" x14ac:dyDescent="0.25">
      <c r="A184" s="13" t="s">
        <v>218</v>
      </c>
      <c r="B184" s="15">
        <v>45429</v>
      </c>
      <c r="C184" s="16">
        <v>0.3001388888888889</v>
      </c>
      <c r="D184" s="39">
        <v>0.3313888888888889</v>
      </c>
      <c r="E184" s="13" t="s">
        <v>10</v>
      </c>
      <c r="F184" s="13" t="s">
        <v>11</v>
      </c>
      <c r="G184" s="13" t="s">
        <v>16</v>
      </c>
      <c r="H184" s="13" t="s">
        <v>13</v>
      </c>
      <c r="I184" s="13" t="s">
        <v>19</v>
      </c>
      <c r="J184" s="13" t="s">
        <v>24</v>
      </c>
      <c r="K184" s="6">
        <f t="shared" si="24"/>
        <v>45</v>
      </c>
      <c r="L184" s="7" t="str" cm="1">
        <f t="array" ref="L184">_xlfn.SWITCH(J184,
  "Bentong Toll Plaza", "Short (0-50km)",
  "Karak Toll Plaza", "Short (0-50km)",
  "Lanchang Toll Plaza", "Medium (50-100km)",
  "Temerloh Toll Plaza", "Medium (50-100km)",
  "Chenor Toll Plaza", "Long (100-200km)",
  "Maran Toll Plaza", "Long (100-200km)",
  "Gambang Toll Plaza", "Long (100-200km)",
  "CHECK"
)</f>
        <v>Short (0-50km)</v>
      </c>
      <c r="M184" s="7" t="str">
        <f t="shared" si="25"/>
        <v>Peak</v>
      </c>
      <c r="N184" s="7" t="str">
        <f t="shared" si="26"/>
        <v>Weekday</v>
      </c>
      <c r="O184" s="7">
        <f t="shared" si="27"/>
        <v>7</v>
      </c>
      <c r="P184" s="7" t="str">
        <f t="shared" si="28"/>
        <v>May</v>
      </c>
      <c r="Q184" s="6">
        <f t="shared" si="29"/>
        <v>66.666666666666671</v>
      </c>
    </row>
    <row r="185" spans="1:17" x14ac:dyDescent="0.25">
      <c r="A185" s="13" t="s">
        <v>219</v>
      </c>
      <c r="B185" s="15">
        <v>45440</v>
      </c>
      <c r="C185" s="16">
        <v>0.41024305555555557</v>
      </c>
      <c r="D185" s="39">
        <v>0.49357638888888888</v>
      </c>
      <c r="E185" s="13" t="s">
        <v>17</v>
      </c>
      <c r="F185" s="13" t="s">
        <v>18</v>
      </c>
      <c r="G185" s="13" t="s">
        <v>14</v>
      </c>
      <c r="H185" s="13" t="s">
        <v>13</v>
      </c>
      <c r="I185" s="13" t="s">
        <v>19</v>
      </c>
      <c r="J185" s="13" t="s">
        <v>20</v>
      </c>
      <c r="K185" s="6">
        <f t="shared" si="24"/>
        <v>119.99999999999997</v>
      </c>
      <c r="L185" s="7" t="str" cm="1">
        <f t="array" ref="L185">_xlfn.SWITCH(J185,
  "Bentong Toll Plaza", "Short (0-50km)",
  "Karak Toll Plaza", "Short (0-50km)",
  "Lanchang Toll Plaza", "Medium (50-100km)",
  "Temerloh Toll Plaza", "Medium (50-100km)",
  "Chenor Toll Plaza", "Long (100-200km)",
  "Maran Toll Plaza", "Long (100-200km)",
  "Gambang Toll Plaza", "Long (100-200km)",
  "CHECK"
)</f>
        <v>Long (100-200km)</v>
      </c>
      <c r="M185" s="7" t="str">
        <f t="shared" si="25"/>
        <v>Off-Peak</v>
      </c>
      <c r="N185" s="7" t="str">
        <f t="shared" si="26"/>
        <v>Weekday</v>
      </c>
      <c r="O185" s="7">
        <f t="shared" si="27"/>
        <v>9</v>
      </c>
      <c r="P185" s="7" t="str">
        <f t="shared" si="28"/>
        <v>May</v>
      </c>
      <c r="Q185" s="6">
        <f t="shared" si="29"/>
        <v>100.00000000000003</v>
      </c>
    </row>
    <row r="186" spans="1:17" x14ac:dyDescent="0.25">
      <c r="A186" s="13" t="s">
        <v>220</v>
      </c>
      <c r="B186" s="15">
        <v>45451</v>
      </c>
      <c r="C186" s="16">
        <v>0.26067129629629632</v>
      </c>
      <c r="D186" s="39">
        <v>0.29192129629629632</v>
      </c>
      <c r="E186" s="13" t="s">
        <v>10</v>
      </c>
      <c r="F186" s="13" t="s">
        <v>11</v>
      </c>
      <c r="G186" s="13" t="s">
        <v>14</v>
      </c>
      <c r="H186" s="13" t="s">
        <v>13</v>
      </c>
      <c r="I186" s="13" t="s">
        <v>19</v>
      </c>
      <c r="J186" s="13" t="s">
        <v>22</v>
      </c>
      <c r="K186" s="6">
        <f t="shared" si="24"/>
        <v>45</v>
      </c>
      <c r="L186" s="7" t="str" cm="1">
        <f t="array" ref="L186">_xlfn.SWITCH(J186,
  "Bentong Toll Plaza", "Short (0-50km)",
  "Karak Toll Plaza", "Short (0-50km)",
  "Lanchang Toll Plaza", "Medium (50-100km)",
  "Temerloh Toll Plaza", "Medium (50-100km)",
  "Chenor Toll Plaza", "Long (100-200km)",
  "Maran Toll Plaza", "Long (100-200km)",
  "Gambang Toll Plaza", "Long (100-200km)",
  "CHECK"
)</f>
        <v>Short (0-50km)</v>
      </c>
      <c r="M186" s="7" t="str">
        <f t="shared" si="25"/>
        <v>Off-Peak</v>
      </c>
      <c r="N186" s="7" t="str">
        <f t="shared" si="26"/>
        <v>Weekend</v>
      </c>
      <c r="O186" s="7">
        <f t="shared" si="27"/>
        <v>6</v>
      </c>
      <c r="P186" s="7" t="str">
        <f t="shared" si="28"/>
        <v>Jun</v>
      </c>
      <c r="Q186" s="6">
        <f t="shared" si="29"/>
        <v>66.666666666666671</v>
      </c>
    </row>
    <row r="187" spans="1:17" x14ac:dyDescent="0.25">
      <c r="A187" s="13" t="s">
        <v>221</v>
      </c>
      <c r="B187" s="15">
        <v>45462</v>
      </c>
      <c r="C187" s="16">
        <v>0.67027777777777775</v>
      </c>
      <c r="D187" s="39">
        <v>0.75361111111111112</v>
      </c>
      <c r="E187" s="13" t="s">
        <v>15</v>
      </c>
      <c r="F187" s="13" t="s">
        <v>23</v>
      </c>
      <c r="G187" s="13" t="s">
        <v>12</v>
      </c>
      <c r="H187" s="13" t="s">
        <v>13</v>
      </c>
      <c r="I187" s="13" t="s">
        <v>19</v>
      </c>
      <c r="J187" s="13" t="s">
        <v>21</v>
      </c>
      <c r="K187" s="6">
        <f t="shared" si="24"/>
        <v>120.00000000000006</v>
      </c>
      <c r="L187" s="7" t="str" cm="1">
        <f t="array" ref="L187">_xlfn.SWITCH(J187,
  "Bentong Toll Plaza", "Short (0-50km)",
  "Karak Toll Plaza", "Short (0-50km)",
  "Lanchang Toll Plaza", "Medium (50-100km)",
  "Temerloh Toll Plaza", "Medium (50-100km)",
  "Chenor Toll Plaza", "Long (100-200km)",
  "Maran Toll Plaza", "Long (100-200km)",
  "Gambang Toll Plaza", "Long (100-200km)",
  "CHECK"
)</f>
        <v>Medium (50-100km)</v>
      </c>
      <c r="M187" s="7" t="str">
        <f t="shared" si="25"/>
        <v>Off-Peak</v>
      </c>
      <c r="N187" s="7" t="str">
        <f t="shared" si="26"/>
        <v>Weekday</v>
      </c>
      <c r="O187" s="7">
        <f t="shared" si="27"/>
        <v>16</v>
      </c>
      <c r="P187" s="7" t="str">
        <f t="shared" si="28"/>
        <v>Jun</v>
      </c>
      <c r="Q187" s="6">
        <f t="shared" si="29"/>
        <v>49.999999999999979</v>
      </c>
    </row>
    <row r="188" spans="1:17" x14ac:dyDescent="0.25">
      <c r="A188" s="13" t="s">
        <v>222</v>
      </c>
      <c r="B188" s="15">
        <v>45473</v>
      </c>
      <c r="C188" s="16">
        <v>0.50385416666666671</v>
      </c>
      <c r="D188" s="39">
        <v>0.53510416666666671</v>
      </c>
      <c r="E188" s="13" t="s">
        <v>10</v>
      </c>
      <c r="F188" s="13" t="s">
        <v>11</v>
      </c>
      <c r="G188" s="13" t="s">
        <v>16</v>
      </c>
      <c r="H188" s="13" t="s">
        <v>13</v>
      </c>
      <c r="I188" s="13" t="s">
        <v>19</v>
      </c>
      <c r="J188" s="13" t="s">
        <v>24</v>
      </c>
      <c r="K188" s="6">
        <f t="shared" si="24"/>
        <v>45</v>
      </c>
      <c r="L188" s="7" t="str" cm="1">
        <f t="array" ref="L188">_xlfn.SWITCH(J188,
  "Bentong Toll Plaza", "Short (0-50km)",
  "Karak Toll Plaza", "Short (0-50km)",
  "Lanchang Toll Plaza", "Medium (50-100km)",
  "Temerloh Toll Plaza", "Medium (50-100km)",
  "Chenor Toll Plaza", "Long (100-200km)",
  "Maran Toll Plaza", "Long (100-200km)",
  "Gambang Toll Plaza", "Long (100-200km)",
  "CHECK"
)</f>
        <v>Short (0-50km)</v>
      </c>
      <c r="M188" s="7" t="str">
        <f t="shared" si="25"/>
        <v>Off-Peak</v>
      </c>
      <c r="N188" s="7" t="str">
        <f t="shared" si="26"/>
        <v>Weekend</v>
      </c>
      <c r="O188" s="7">
        <f t="shared" si="27"/>
        <v>12</v>
      </c>
      <c r="P188" s="7" t="str">
        <f t="shared" si="28"/>
        <v>Jun</v>
      </c>
      <c r="Q188" s="6">
        <f t="shared" si="29"/>
        <v>66.666666666666671</v>
      </c>
    </row>
    <row r="189" spans="1:17" x14ac:dyDescent="0.25">
      <c r="A189" s="13" t="s">
        <v>223</v>
      </c>
      <c r="B189" s="15">
        <v>45484</v>
      </c>
      <c r="C189" s="16">
        <v>0.30914351851851851</v>
      </c>
      <c r="D189" s="39">
        <v>0.39247685185185183</v>
      </c>
      <c r="E189" s="13" t="s">
        <v>17</v>
      </c>
      <c r="F189" s="13" t="s">
        <v>18</v>
      </c>
      <c r="G189" s="13" t="s">
        <v>16</v>
      </c>
      <c r="H189" s="13" t="s">
        <v>13</v>
      </c>
      <c r="I189" s="13" t="s">
        <v>19</v>
      </c>
      <c r="J189" s="13" t="s">
        <v>20</v>
      </c>
      <c r="K189" s="6">
        <f t="shared" si="24"/>
        <v>119.99999999999997</v>
      </c>
      <c r="L189" s="7" t="str" cm="1">
        <f t="array" ref="L189">_xlfn.SWITCH(J189,
  "Bentong Toll Plaza", "Short (0-50km)",
  "Karak Toll Plaza", "Short (0-50km)",
  "Lanchang Toll Plaza", "Medium (50-100km)",
  "Temerloh Toll Plaza", "Medium (50-100km)",
  "Chenor Toll Plaza", "Long (100-200km)",
  "Maran Toll Plaza", "Long (100-200km)",
  "Gambang Toll Plaza", "Long (100-200km)",
  "CHECK"
)</f>
        <v>Long (100-200km)</v>
      </c>
      <c r="M189" s="7" t="str">
        <f t="shared" si="25"/>
        <v>Peak</v>
      </c>
      <c r="N189" s="7" t="str">
        <f t="shared" si="26"/>
        <v>Weekday</v>
      </c>
      <c r="O189" s="7">
        <f t="shared" si="27"/>
        <v>7</v>
      </c>
      <c r="P189" s="7" t="str">
        <f t="shared" si="28"/>
        <v>Jul</v>
      </c>
      <c r="Q189" s="6">
        <f t="shared" si="29"/>
        <v>100.00000000000003</v>
      </c>
    </row>
    <row r="190" spans="1:17" x14ac:dyDescent="0.25">
      <c r="A190" s="13" t="s">
        <v>224</v>
      </c>
      <c r="B190" s="15">
        <v>45495</v>
      </c>
      <c r="C190" s="16">
        <v>0.24666666666666667</v>
      </c>
      <c r="D190" s="39">
        <v>0.27791666666666665</v>
      </c>
      <c r="E190" s="13" t="s">
        <v>10</v>
      </c>
      <c r="F190" s="13" t="s">
        <v>11</v>
      </c>
      <c r="G190" s="13" t="s">
        <v>14</v>
      </c>
      <c r="H190" s="13" t="s">
        <v>13</v>
      </c>
      <c r="I190" s="13" t="s">
        <v>19</v>
      </c>
      <c r="J190" s="13" t="s">
        <v>22</v>
      </c>
      <c r="K190" s="6">
        <f t="shared" si="24"/>
        <v>44.999999999999957</v>
      </c>
      <c r="L190" s="7" t="str" cm="1">
        <f t="array" ref="L190">_xlfn.SWITCH(J190,
  "Bentong Toll Plaza", "Short (0-50km)",
  "Karak Toll Plaza", "Short (0-50km)",
  "Lanchang Toll Plaza", "Medium (50-100km)",
  "Temerloh Toll Plaza", "Medium (50-100km)",
  "Chenor Toll Plaza", "Long (100-200km)",
  "Maran Toll Plaza", "Long (100-200km)",
  "Gambang Toll Plaza", "Long (100-200km)",
  "CHECK"
)</f>
        <v>Short (0-50km)</v>
      </c>
      <c r="M190" s="7" t="str">
        <f t="shared" si="25"/>
        <v>Off-Peak</v>
      </c>
      <c r="N190" s="7" t="str">
        <f t="shared" si="26"/>
        <v>Weekday</v>
      </c>
      <c r="O190" s="7">
        <f t="shared" si="27"/>
        <v>5</v>
      </c>
      <c r="P190" s="7" t="str">
        <f t="shared" si="28"/>
        <v>Jul</v>
      </c>
      <c r="Q190" s="6">
        <f t="shared" si="29"/>
        <v>66.666666666666728</v>
      </c>
    </row>
    <row r="191" spans="1:17" x14ac:dyDescent="0.25">
      <c r="A191" s="13" t="s">
        <v>225</v>
      </c>
      <c r="B191" s="15">
        <v>45507</v>
      </c>
      <c r="C191" s="16">
        <v>0.56982638888888892</v>
      </c>
      <c r="D191" s="39">
        <v>0.65315972222222218</v>
      </c>
      <c r="E191" s="13" t="s">
        <v>15</v>
      </c>
      <c r="F191" s="13" t="s">
        <v>23</v>
      </c>
      <c r="G191" s="13" t="s">
        <v>12</v>
      </c>
      <c r="H191" s="13" t="s">
        <v>13</v>
      </c>
      <c r="I191" s="13" t="s">
        <v>19</v>
      </c>
      <c r="J191" s="13" t="s">
        <v>21</v>
      </c>
      <c r="K191" s="6">
        <f t="shared" si="24"/>
        <v>119.99999999999989</v>
      </c>
      <c r="L191" s="7" t="str" cm="1">
        <f t="array" ref="L191">_xlfn.SWITCH(J191,
  "Bentong Toll Plaza", "Short (0-50km)",
  "Karak Toll Plaza", "Short (0-50km)",
  "Lanchang Toll Plaza", "Medium (50-100km)",
  "Temerloh Toll Plaza", "Medium (50-100km)",
  "Chenor Toll Plaza", "Long (100-200km)",
  "Maran Toll Plaza", "Long (100-200km)",
  "Gambang Toll Plaza", "Long (100-200km)",
  "CHECK"
)</f>
        <v>Medium (50-100km)</v>
      </c>
      <c r="M191" s="7" t="str">
        <f t="shared" si="25"/>
        <v>Off-Peak</v>
      </c>
      <c r="N191" s="7" t="str">
        <f t="shared" si="26"/>
        <v>Weekend</v>
      </c>
      <c r="O191" s="7">
        <f t="shared" si="27"/>
        <v>13</v>
      </c>
      <c r="P191" s="7" t="str">
        <f t="shared" si="28"/>
        <v>Aug</v>
      </c>
      <c r="Q191" s="6">
        <f t="shared" si="29"/>
        <v>50.00000000000005</v>
      </c>
    </row>
    <row r="192" spans="1:17" x14ac:dyDescent="0.25">
      <c r="A192" s="13" t="s">
        <v>226</v>
      </c>
      <c r="B192" s="15">
        <v>45518</v>
      </c>
      <c r="C192" s="16">
        <v>0.25358796296296299</v>
      </c>
      <c r="D192" s="39">
        <v>0.28483796296296299</v>
      </c>
      <c r="E192" s="13" t="s">
        <v>10</v>
      </c>
      <c r="F192" s="13" t="s">
        <v>11</v>
      </c>
      <c r="G192" s="13" t="s">
        <v>16</v>
      </c>
      <c r="H192" s="13" t="s">
        <v>13</v>
      </c>
      <c r="I192" s="13" t="s">
        <v>19</v>
      </c>
      <c r="J192" s="13" t="s">
        <v>24</v>
      </c>
      <c r="K192" s="6">
        <f t="shared" si="24"/>
        <v>45</v>
      </c>
      <c r="L192" s="7" t="str" cm="1">
        <f t="array" ref="L192">_xlfn.SWITCH(J192,
  "Bentong Toll Plaza", "Short (0-50km)",
  "Karak Toll Plaza", "Short (0-50km)",
  "Lanchang Toll Plaza", "Medium (50-100km)",
  "Temerloh Toll Plaza", "Medium (50-100km)",
  "Chenor Toll Plaza", "Long (100-200km)",
  "Maran Toll Plaza", "Long (100-200km)",
  "Gambang Toll Plaza", "Long (100-200km)",
  "CHECK"
)</f>
        <v>Short (0-50km)</v>
      </c>
      <c r="M192" s="7" t="str">
        <f t="shared" si="25"/>
        <v>Off-Peak</v>
      </c>
      <c r="N192" s="7" t="str">
        <f t="shared" si="26"/>
        <v>Weekday</v>
      </c>
      <c r="O192" s="7">
        <f t="shared" si="27"/>
        <v>6</v>
      </c>
      <c r="P192" s="7" t="str">
        <f t="shared" si="28"/>
        <v>Aug</v>
      </c>
      <c r="Q192" s="6">
        <f t="shared" si="29"/>
        <v>66.666666666666671</v>
      </c>
    </row>
    <row r="193" spans="1:17" x14ac:dyDescent="0.25">
      <c r="A193" s="13" t="s">
        <v>227</v>
      </c>
      <c r="B193" s="15">
        <v>45529</v>
      </c>
      <c r="C193" s="16">
        <v>0.38358796296296294</v>
      </c>
      <c r="D193" s="39">
        <v>0.46692129629629631</v>
      </c>
      <c r="E193" s="13" t="s">
        <v>17</v>
      </c>
      <c r="F193" s="13" t="s">
        <v>18</v>
      </c>
      <c r="G193" s="13" t="s">
        <v>14</v>
      </c>
      <c r="H193" s="13" t="s">
        <v>13</v>
      </c>
      <c r="I193" s="13" t="s">
        <v>19</v>
      </c>
      <c r="J193" s="13" t="s">
        <v>20</v>
      </c>
      <c r="K193" s="6">
        <f t="shared" si="24"/>
        <v>120.00000000000006</v>
      </c>
      <c r="L193" s="7" t="str" cm="1">
        <f t="array" ref="L193">_xlfn.SWITCH(J193,
  "Bentong Toll Plaza", "Short (0-50km)",
  "Karak Toll Plaza", "Short (0-50km)",
  "Lanchang Toll Plaza", "Medium (50-100km)",
  "Temerloh Toll Plaza", "Medium (50-100km)",
  "Chenor Toll Plaza", "Long (100-200km)",
  "Maran Toll Plaza", "Long (100-200km)",
  "Gambang Toll Plaza", "Long (100-200km)",
  "CHECK"
)</f>
        <v>Long (100-200km)</v>
      </c>
      <c r="M193" s="7" t="str">
        <f t="shared" si="25"/>
        <v>Off-Peak</v>
      </c>
      <c r="N193" s="7" t="str">
        <f t="shared" si="26"/>
        <v>Weekend</v>
      </c>
      <c r="O193" s="7">
        <f t="shared" si="27"/>
        <v>9</v>
      </c>
      <c r="P193" s="7" t="str">
        <f t="shared" si="28"/>
        <v>Aug</v>
      </c>
      <c r="Q193" s="6">
        <f t="shared" si="29"/>
        <v>99.999999999999957</v>
      </c>
    </row>
    <row r="194" spans="1:17" x14ac:dyDescent="0.25">
      <c r="A194" s="13" t="s">
        <v>228</v>
      </c>
      <c r="B194" s="15">
        <v>45540</v>
      </c>
      <c r="C194" s="16">
        <v>0.36857638888888888</v>
      </c>
      <c r="D194" s="39">
        <v>0.39982638888888888</v>
      </c>
      <c r="E194" s="13" t="s">
        <v>10</v>
      </c>
      <c r="F194" s="13" t="s">
        <v>11</v>
      </c>
      <c r="G194" s="13" t="s">
        <v>14</v>
      </c>
      <c r="H194" s="13" t="s">
        <v>13</v>
      </c>
      <c r="I194" s="13" t="s">
        <v>19</v>
      </c>
      <c r="J194" s="13" t="s">
        <v>22</v>
      </c>
      <c r="K194" s="6">
        <f t="shared" si="24"/>
        <v>45</v>
      </c>
      <c r="L194" s="7" t="str" cm="1">
        <f t="array" ref="L194">_xlfn.SWITCH(J194,
  "Bentong Toll Plaza", "Short (0-50km)",
  "Karak Toll Plaza", "Short (0-50km)",
  "Lanchang Toll Plaza", "Medium (50-100km)",
  "Temerloh Toll Plaza", "Medium (50-100km)",
  "Chenor Toll Plaza", "Long (100-200km)",
  "Maran Toll Plaza", "Long (100-200km)",
  "Gambang Toll Plaza", "Long (100-200km)",
  "CHECK"
)</f>
        <v>Short (0-50km)</v>
      </c>
      <c r="M194" s="7" t="str">
        <f t="shared" si="25"/>
        <v>Peak</v>
      </c>
      <c r="N194" s="7" t="str">
        <f t="shared" si="26"/>
        <v>Weekday</v>
      </c>
      <c r="O194" s="7">
        <f t="shared" si="27"/>
        <v>8</v>
      </c>
      <c r="P194" s="7" t="str">
        <f t="shared" si="28"/>
        <v>Sep</v>
      </c>
      <c r="Q194" s="6">
        <f t="shared" si="29"/>
        <v>66.666666666666671</v>
      </c>
    </row>
    <row r="195" spans="1:17" x14ac:dyDescent="0.25">
      <c r="A195" s="13" t="s">
        <v>229</v>
      </c>
      <c r="B195" s="15">
        <v>45551</v>
      </c>
      <c r="C195" s="16">
        <v>0.62885416666666671</v>
      </c>
      <c r="D195" s="39">
        <v>0.71218749999999997</v>
      </c>
      <c r="E195" s="13" t="s">
        <v>15</v>
      </c>
      <c r="F195" s="13" t="s">
        <v>23</v>
      </c>
      <c r="G195" s="13" t="s">
        <v>12</v>
      </c>
      <c r="H195" s="13" t="s">
        <v>13</v>
      </c>
      <c r="I195" s="13" t="s">
        <v>19</v>
      </c>
      <c r="J195" s="13" t="s">
        <v>21</v>
      </c>
      <c r="K195" s="6">
        <f t="shared" si="24"/>
        <v>119.99999999999989</v>
      </c>
      <c r="L195" s="7" t="str" cm="1">
        <f t="array" ref="L195">_xlfn.SWITCH(J195,
  "Bentong Toll Plaza", "Short (0-50km)",
  "Karak Toll Plaza", "Short (0-50km)",
  "Lanchang Toll Plaza", "Medium (50-100km)",
  "Temerloh Toll Plaza", "Medium (50-100km)",
  "Chenor Toll Plaza", "Long (100-200km)",
  "Maran Toll Plaza", "Long (100-200km)",
  "Gambang Toll Plaza", "Long (100-200km)",
  "CHECK"
)</f>
        <v>Medium (50-100km)</v>
      </c>
      <c r="M195" s="7" t="str">
        <f t="shared" si="25"/>
        <v>Off-Peak</v>
      </c>
      <c r="N195" s="7" t="str">
        <f t="shared" si="26"/>
        <v>Weekday</v>
      </c>
      <c r="O195" s="7">
        <f t="shared" si="27"/>
        <v>15</v>
      </c>
      <c r="P195" s="7" t="str">
        <f t="shared" si="28"/>
        <v>Sep</v>
      </c>
      <c r="Q195" s="6">
        <f t="shared" si="29"/>
        <v>50.00000000000005</v>
      </c>
    </row>
    <row r="196" spans="1:17" x14ac:dyDescent="0.25">
      <c r="A196" s="13" t="s">
        <v>230</v>
      </c>
      <c r="B196" s="15">
        <v>45562</v>
      </c>
      <c r="C196" s="16">
        <v>0.30569444444444444</v>
      </c>
      <c r="D196" s="39">
        <v>0.33694444444444444</v>
      </c>
      <c r="E196" s="13" t="s">
        <v>10</v>
      </c>
      <c r="F196" s="13" t="s">
        <v>11</v>
      </c>
      <c r="G196" s="13" t="s">
        <v>16</v>
      </c>
      <c r="H196" s="13" t="s">
        <v>13</v>
      </c>
      <c r="I196" s="13" t="s">
        <v>19</v>
      </c>
      <c r="J196" s="13" t="s">
        <v>24</v>
      </c>
      <c r="K196" s="6">
        <f t="shared" si="24"/>
        <v>45</v>
      </c>
      <c r="L196" s="7" t="str" cm="1">
        <f t="array" ref="L196">_xlfn.SWITCH(J196,
  "Bentong Toll Plaza", "Short (0-50km)",
  "Karak Toll Plaza", "Short (0-50km)",
  "Lanchang Toll Plaza", "Medium (50-100km)",
  "Temerloh Toll Plaza", "Medium (50-100km)",
  "Chenor Toll Plaza", "Long (100-200km)",
  "Maran Toll Plaza", "Long (100-200km)",
  "Gambang Toll Plaza", "Long (100-200km)",
  "CHECK"
)</f>
        <v>Short (0-50km)</v>
      </c>
      <c r="M196" s="7" t="str">
        <f t="shared" si="25"/>
        <v>Peak</v>
      </c>
      <c r="N196" s="7" t="str">
        <f t="shared" si="26"/>
        <v>Weekday</v>
      </c>
      <c r="O196" s="7">
        <f t="shared" si="27"/>
        <v>7</v>
      </c>
      <c r="P196" s="7" t="str">
        <f t="shared" si="28"/>
        <v>Sep</v>
      </c>
      <c r="Q196" s="6">
        <f t="shared" si="29"/>
        <v>66.666666666666671</v>
      </c>
    </row>
    <row r="197" spans="1:17" x14ac:dyDescent="0.25">
      <c r="A197" s="13" t="s">
        <v>231</v>
      </c>
      <c r="B197" s="15">
        <v>45573</v>
      </c>
      <c r="C197" s="16">
        <v>0.42052083333333334</v>
      </c>
      <c r="D197" s="39">
        <v>0.50385416666666671</v>
      </c>
      <c r="E197" s="13" t="s">
        <v>17</v>
      </c>
      <c r="F197" s="13" t="s">
        <v>18</v>
      </c>
      <c r="G197" s="13" t="s">
        <v>16</v>
      </c>
      <c r="H197" s="13" t="s">
        <v>13</v>
      </c>
      <c r="I197" s="13" t="s">
        <v>19</v>
      </c>
      <c r="J197" s="13" t="s">
        <v>20</v>
      </c>
      <c r="K197" s="6">
        <f t="shared" si="24"/>
        <v>120.00000000000006</v>
      </c>
      <c r="L197" s="7" t="str" cm="1">
        <f t="array" ref="L197">_xlfn.SWITCH(J197,
  "Bentong Toll Plaza", "Short (0-50km)",
  "Karak Toll Plaza", "Short (0-50km)",
  "Lanchang Toll Plaza", "Medium (50-100km)",
  "Temerloh Toll Plaza", "Medium (50-100km)",
  "Chenor Toll Plaza", "Long (100-200km)",
  "Maran Toll Plaza", "Long (100-200km)",
  "Gambang Toll Plaza", "Long (100-200km)",
  "CHECK"
)</f>
        <v>Long (100-200km)</v>
      </c>
      <c r="M197" s="7" t="str">
        <f t="shared" si="25"/>
        <v>Off-Peak</v>
      </c>
      <c r="N197" s="7" t="str">
        <f t="shared" si="26"/>
        <v>Weekday</v>
      </c>
      <c r="O197" s="7">
        <f t="shared" si="27"/>
        <v>10</v>
      </c>
      <c r="P197" s="7" t="str">
        <f t="shared" si="28"/>
        <v>Oct</v>
      </c>
      <c r="Q197" s="6">
        <f t="shared" si="29"/>
        <v>99.999999999999957</v>
      </c>
    </row>
    <row r="198" spans="1:17" x14ac:dyDescent="0.25">
      <c r="A198" s="13" t="s">
        <v>232</v>
      </c>
      <c r="B198" s="15">
        <v>45584</v>
      </c>
      <c r="C198" s="16">
        <v>0.25858796296296294</v>
      </c>
      <c r="D198" s="39">
        <v>0.28983796296296294</v>
      </c>
      <c r="E198" s="13" t="s">
        <v>10</v>
      </c>
      <c r="F198" s="13" t="s">
        <v>11</v>
      </c>
      <c r="G198" s="13" t="s">
        <v>14</v>
      </c>
      <c r="H198" s="13" t="s">
        <v>13</v>
      </c>
      <c r="I198" s="13" t="s">
        <v>19</v>
      </c>
      <c r="J198" s="13" t="s">
        <v>22</v>
      </c>
      <c r="K198" s="6">
        <f t="shared" si="24"/>
        <v>45</v>
      </c>
      <c r="L198" s="7" t="str" cm="1">
        <f t="array" ref="L198">_xlfn.SWITCH(J198,
  "Bentong Toll Plaza", "Short (0-50km)",
  "Karak Toll Plaza", "Short (0-50km)",
  "Lanchang Toll Plaza", "Medium (50-100km)",
  "Temerloh Toll Plaza", "Medium (50-100km)",
  "Chenor Toll Plaza", "Long (100-200km)",
  "Maran Toll Plaza", "Long (100-200km)",
  "Gambang Toll Plaza", "Long (100-200km)",
  "CHECK"
)</f>
        <v>Short (0-50km)</v>
      </c>
      <c r="M198" s="7" t="str">
        <f t="shared" si="25"/>
        <v>Off-Peak</v>
      </c>
      <c r="N198" s="7" t="str">
        <f t="shared" si="26"/>
        <v>Weekend</v>
      </c>
      <c r="O198" s="7">
        <f t="shared" si="27"/>
        <v>6</v>
      </c>
      <c r="P198" s="7" t="str">
        <f t="shared" si="28"/>
        <v>Oct</v>
      </c>
      <c r="Q198" s="6">
        <f t="shared" si="29"/>
        <v>66.666666666666671</v>
      </c>
    </row>
    <row r="199" spans="1:17" x14ac:dyDescent="0.25">
      <c r="A199" s="13" t="s">
        <v>233</v>
      </c>
      <c r="B199" s="15">
        <v>45595</v>
      </c>
      <c r="C199" s="16">
        <v>0.7192708333333333</v>
      </c>
      <c r="D199" s="39">
        <v>0.80260416666666667</v>
      </c>
      <c r="E199" s="13" t="s">
        <v>15</v>
      </c>
      <c r="F199" s="13" t="s">
        <v>23</v>
      </c>
      <c r="G199" s="13" t="s">
        <v>12</v>
      </c>
      <c r="H199" s="13" t="s">
        <v>13</v>
      </c>
      <c r="I199" s="13" t="s">
        <v>19</v>
      </c>
      <c r="J199" s="13" t="s">
        <v>21</v>
      </c>
      <c r="K199" s="6">
        <f t="shared" si="24"/>
        <v>120.00000000000006</v>
      </c>
      <c r="L199" s="7" t="str" cm="1">
        <f t="array" ref="L199">_xlfn.SWITCH(J199,
  "Bentong Toll Plaza", "Short (0-50km)",
  "Karak Toll Plaza", "Short (0-50km)",
  "Lanchang Toll Plaza", "Medium (50-100km)",
  "Temerloh Toll Plaza", "Medium (50-100km)",
  "Chenor Toll Plaza", "Long (100-200km)",
  "Maran Toll Plaza", "Long (100-200km)",
  "Gambang Toll Plaza", "Long (100-200km)",
  "CHECK"
)</f>
        <v>Medium (50-100km)</v>
      </c>
      <c r="M199" s="7" t="str">
        <f t="shared" si="25"/>
        <v>Peak</v>
      </c>
      <c r="N199" s="7" t="str">
        <f t="shared" si="26"/>
        <v>Weekday</v>
      </c>
      <c r="O199" s="7">
        <f t="shared" si="27"/>
        <v>17</v>
      </c>
      <c r="P199" s="7" t="str">
        <f t="shared" si="28"/>
        <v>Oct</v>
      </c>
      <c r="Q199" s="6">
        <f t="shared" si="29"/>
        <v>49.999999999999979</v>
      </c>
    </row>
    <row r="200" spans="1:17" x14ac:dyDescent="0.25">
      <c r="A200" s="13" t="s">
        <v>234</v>
      </c>
      <c r="B200" s="15">
        <v>45606</v>
      </c>
      <c r="C200" s="16">
        <v>0.53486111111111112</v>
      </c>
      <c r="D200" s="39">
        <v>0.56611111111111112</v>
      </c>
      <c r="E200" s="13" t="s">
        <v>10</v>
      </c>
      <c r="F200" s="13" t="s">
        <v>11</v>
      </c>
      <c r="G200" s="13" t="s">
        <v>16</v>
      </c>
      <c r="H200" s="13" t="s">
        <v>13</v>
      </c>
      <c r="I200" s="13" t="s">
        <v>19</v>
      </c>
      <c r="J200" s="13" t="s">
        <v>24</v>
      </c>
      <c r="K200" s="6">
        <f t="shared" si="24"/>
        <v>45</v>
      </c>
      <c r="L200" s="7" t="str" cm="1">
        <f t="array" ref="L200">_xlfn.SWITCH(J200,
  "Bentong Toll Plaza", "Short (0-50km)",
  "Karak Toll Plaza", "Short (0-50km)",
  "Lanchang Toll Plaza", "Medium (50-100km)",
  "Temerloh Toll Plaza", "Medium (50-100km)",
  "Chenor Toll Plaza", "Long (100-200km)",
  "Maran Toll Plaza", "Long (100-200km)",
  "Gambang Toll Plaza", "Long (100-200km)",
  "CHECK"
)</f>
        <v>Short (0-50km)</v>
      </c>
      <c r="M200" s="7" t="str">
        <f t="shared" si="25"/>
        <v>Off-Peak</v>
      </c>
      <c r="N200" s="7" t="str">
        <f t="shared" si="26"/>
        <v>Weekend</v>
      </c>
      <c r="O200" s="7">
        <f t="shared" si="27"/>
        <v>12</v>
      </c>
      <c r="P200" s="7" t="str">
        <f t="shared" si="28"/>
        <v>Nov</v>
      </c>
      <c r="Q200" s="6">
        <f t="shared" si="29"/>
        <v>66.666666666666671</v>
      </c>
    </row>
    <row r="201" spans="1:17" x14ac:dyDescent="0.25">
      <c r="A201" s="13" t="s">
        <v>235</v>
      </c>
      <c r="B201" s="15">
        <v>45617</v>
      </c>
      <c r="C201" s="16">
        <v>0.29552083333333334</v>
      </c>
      <c r="D201" s="39">
        <v>0.37885416666666666</v>
      </c>
      <c r="E201" s="13" t="s">
        <v>17</v>
      </c>
      <c r="F201" s="13" t="s">
        <v>18</v>
      </c>
      <c r="G201" s="13" t="s">
        <v>14</v>
      </c>
      <c r="H201" s="13" t="s">
        <v>13</v>
      </c>
      <c r="I201" s="13" t="s">
        <v>19</v>
      </c>
      <c r="J201" s="13" t="s">
        <v>20</v>
      </c>
      <c r="K201" s="6">
        <f t="shared" si="24"/>
        <v>119.99999999999997</v>
      </c>
      <c r="L201" s="7" t="str" cm="1">
        <f t="array" ref="L201">_xlfn.SWITCH(J201,
  "Bentong Toll Plaza", "Short (0-50km)",
  "Karak Toll Plaza", "Short (0-50km)",
  "Lanchang Toll Plaza", "Medium (50-100km)",
  "Temerloh Toll Plaza", "Medium (50-100km)",
  "Chenor Toll Plaza", "Long (100-200km)",
  "Maran Toll Plaza", "Long (100-200km)",
  "Gambang Toll Plaza", "Long (100-200km)",
  "CHECK"
)</f>
        <v>Long (100-200km)</v>
      </c>
      <c r="M201" s="7" t="str">
        <f t="shared" si="25"/>
        <v>Peak</v>
      </c>
      <c r="N201" s="7" t="str">
        <f t="shared" si="26"/>
        <v>Weekday</v>
      </c>
      <c r="O201" s="7">
        <f t="shared" si="27"/>
        <v>7</v>
      </c>
      <c r="P201" s="7" t="str">
        <f t="shared" si="28"/>
        <v>Nov</v>
      </c>
      <c r="Q201" s="6">
        <f t="shared" si="29"/>
        <v>100.00000000000003</v>
      </c>
    </row>
    <row r="202" spans="1:17" x14ac:dyDescent="0.25">
      <c r="A202" s="13" t="s">
        <v>236</v>
      </c>
      <c r="B202" s="15">
        <v>45628</v>
      </c>
      <c r="C202" s="16">
        <v>0.24678240740740739</v>
      </c>
      <c r="D202" s="39">
        <v>0.27803240740740742</v>
      </c>
      <c r="E202" s="13" t="s">
        <v>10</v>
      </c>
      <c r="F202" s="13" t="s">
        <v>11</v>
      </c>
      <c r="G202" s="13" t="s">
        <v>14</v>
      </c>
      <c r="H202" s="13" t="s">
        <v>13</v>
      </c>
      <c r="I202" s="13" t="s">
        <v>19</v>
      </c>
      <c r="J202" s="13" t="s">
        <v>22</v>
      </c>
      <c r="K202" s="6">
        <f t="shared" si="24"/>
        <v>45.000000000000043</v>
      </c>
      <c r="L202" s="7" t="str" cm="1">
        <f t="array" ref="L202">_xlfn.SWITCH(J202,
  "Bentong Toll Plaza", "Short (0-50km)",
  "Karak Toll Plaza", "Short (0-50km)",
  "Lanchang Toll Plaza", "Medium (50-100km)",
  "Temerloh Toll Plaza", "Medium (50-100km)",
  "Chenor Toll Plaza", "Long (100-200km)",
  "Maran Toll Plaza", "Long (100-200km)",
  "Gambang Toll Plaza", "Long (100-200km)",
  "CHECK"
)</f>
        <v>Short (0-50km)</v>
      </c>
      <c r="M202" s="7" t="str">
        <f t="shared" si="25"/>
        <v>Off-Peak</v>
      </c>
      <c r="N202" s="7" t="str">
        <f t="shared" si="26"/>
        <v>Weekday</v>
      </c>
      <c r="O202" s="7">
        <f t="shared" si="27"/>
        <v>5</v>
      </c>
      <c r="P202" s="7" t="str">
        <f t="shared" si="28"/>
        <v>Dec</v>
      </c>
      <c r="Q202" s="6">
        <f t="shared" si="29"/>
        <v>66.6666666666666</v>
      </c>
    </row>
    <row r="203" spans="1:17" x14ac:dyDescent="0.25">
      <c r="A203" s="13" t="s">
        <v>237</v>
      </c>
      <c r="B203" s="15">
        <v>45639</v>
      </c>
      <c r="C203" s="16">
        <v>0.61122685185185188</v>
      </c>
      <c r="D203" s="39">
        <v>0.69456018518518514</v>
      </c>
      <c r="E203" s="13" t="s">
        <v>15</v>
      </c>
      <c r="F203" s="13" t="s">
        <v>23</v>
      </c>
      <c r="G203" s="13" t="s">
        <v>12</v>
      </c>
      <c r="H203" s="13" t="s">
        <v>13</v>
      </c>
      <c r="I203" s="13" t="s">
        <v>19</v>
      </c>
      <c r="J203" s="13" t="s">
        <v>21</v>
      </c>
      <c r="K203" s="6">
        <f t="shared" si="24"/>
        <v>119.99999999999989</v>
      </c>
      <c r="L203" s="7" t="str" cm="1">
        <f t="array" ref="L203">_xlfn.SWITCH(J203,
  "Bentong Toll Plaza", "Short (0-50km)",
  "Karak Toll Plaza", "Short (0-50km)",
  "Lanchang Toll Plaza", "Medium (50-100km)",
  "Temerloh Toll Plaza", "Medium (50-100km)",
  "Chenor Toll Plaza", "Long (100-200km)",
  "Maran Toll Plaza", "Long (100-200km)",
  "Gambang Toll Plaza", "Long (100-200km)",
  "CHECK"
)</f>
        <v>Medium (50-100km)</v>
      </c>
      <c r="M203" s="7" t="str">
        <f t="shared" si="25"/>
        <v>Off-Peak</v>
      </c>
      <c r="N203" s="7" t="str">
        <f t="shared" si="26"/>
        <v>Weekday</v>
      </c>
      <c r="O203" s="7">
        <f t="shared" si="27"/>
        <v>14</v>
      </c>
      <c r="P203" s="7" t="str">
        <f t="shared" si="28"/>
        <v>Dec</v>
      </c>
      <c r="Q203" s="6">
        <f t="shared" si="29"/>
        <v>50.00000000000005</v>
      </c>
    </row>
    <row r="204" spans="1:17" x14ac:dyDescent="0.25">
      <c r="A204" s="13" t="s">
        <v>238</v>
      </c>
      <c r="B204" s="15">
        <v>45650</v>
      </c>
      <c r="C204" s="16">
        <v>0.30052083333333335</v>
      </c>
      <c r="D204" s="39">
        <v>0.33177083333333335</v>
      </c>
      <c r="E204" s="13" t="s">
        <v>10</v>
      </c>
      <c r="F204" s="13" t="s">
        <v>11</v>
      </c>
      <c r="G204" s="13" t="s">
        <v>16</v>
      </c>
      <c r="H204" s="13" t="s">
        <v>13</v>
      </c>
      <c r="I204" s="13" t="s">
        <v>19</v>
      </c>
      <c r="J204" s="13" t="s">
        <v>24</v>
      </c>
      <c r="K204" s="6">
        <f t="shared" ref="K204:K221" si="30">IF(D204&lt;C204, ((D204+1)-C204)*1440, (D204-C204)*1440)</f>
        <v>45</v>
      </c>
      <c r="L204" s="7" t="str" cm="1">
        <f t="array" ref="L204">_xlfn.SWITCH(J204,
  "Bentong Toll Plaza", "Short (0-50km)",
  "Karak Toll Plaza", "Short (0-50km)",
  "Lanchang Toll Plaza", "Medium (50-100km)",
  "Temerloh Toll Plaza", "Medium (50-100km)",
  "Chenor Toll Plaza", "Long (100-200km)",
  "Maran Toll Plaza", "Long (100-200km)",
  "Gambang Toll Plaza", "Long (100-200km)",
  "CHECK"
)</f>
        <v>Short (0-50km)</v>
      </c>
      <c r="M204" s="7" t="str">
        <f t="shared" ref="M204:M221" si="31">IF(OR(
    AND(MOD(C204,1)&gt;=TIME(7,0,0), MOD(C204,1)&lt;=TIME(9,0,0)),
    AND(MOD(C204,1)&gt;=TIME(17,0,0), MOD(C204,1)&lt;=TIME(19,0,0))
), "Peak", "Off-Peak")</f>
        <v>Peak</v>
      </c>
      <c r="N204" s="7" t="str">
        <f t="shared" ref="N204:N221" si="32">IF(WEEKDAY(B204,2)&gt;=6, "Weekend", "Weekday")</f>
        <v>Weekday</v>
      </c>
      <c r="O204" s="7">
        <f t="shared" ref="O204:O221" si="33">HOUR(C204)</f>
        <v>7</v>
      </c>
      <c r="P204" s="7" t="str">
        <f t="shared" ref="P204:P221" si="34">TEXT(B204,"mmm")</f>
        <v>Dec</v>
      </c>
      <c r="Q204" s="6">
        <f t="shared" ref="Q204:Q221" si="35">IF(L204="Short (0-50km)", (50/(K204/60)),
 IF(L204="Medium (50-100km)", (100/(K204/60)),
 IF(L204="Long (100-200km)", (200/(K204/60)),
 "Invalid")))</f>
        <v>66.666666666666671</v>
      </c>
    </row>
    <row r="205" spans="1:17" x14ac:dyDescent="0.25">
      <c r="A205" s="13" t="s">
        <v>239</v>
      </c>
      <c r="B205" s="15">
        <v>45295</v>
      </c>
      <c r="C205" s="16">
        <v>0.40986111111111112</v>
      </c>
      <c r="D205" s="39">
        <v>0.49319444444444444</v>
      </c>
      <c r="E205" s="13" t="s">
        <v>17</v>
      </c>
      <c r="F205" s="13" t="s">
        <v>18</v>
      </c>
      <c r="G205" s="13" t="s">
        <v>16</v>
      </c>
      <c r="H205" s="13" t="s">
        <v>13</v>
      </c>
      <c r="I205" s="13" t="s">
        <v>19</v>
      </c>
      <c r="J205" s="13" t="s">
        <v>20</v>
      </c>
      <c r="K205" s="6">
        <f t="shared" si="30"/>
        <v>119.99999999999997</v>
      </c>
      <c r="L205" s="7" t="str" cm="1">
        <f t="array" ref="L205">_xlfn.SWITCH(J205,
  "Bentong Toll Plaza", "Short (0-50km)",
  "Karak Toll Plaza", "Short (0-50km)",
  "Lanchang Toll Plaza", "Medium (50-100km)",
  "Temerloh Toll Plaza", "Medium (50-100km)",
  "Chenor Toll Plaza", "Long (100-200km)",
  "Maran Toll Plaza", "Long (100-200km)",
  "Gambang Toll Plaza", "Long (100-200km)",
  "CHECK"
)</f>
        <v>Long (100-200km)</v>
      </c>
      <c r="M205" s="7" t="str">
        <f t="shared" si="31"/>
        <v>Off-Peak</v>
      </c>
      <c r="N205" s="7" t="str">
        <f t="shared" si="32"/>
        <v>Weekday</v>
      </c>
      <c r="O205" s="7">
        <f t="shared" si="33"/>
        <v>9</v>
      </c>
      <c r="P205" s="7" t="str">
        <f t="shared" si="34"/>
        <v>Jan</v>
      </c>
      <c r="Q205" s="6">
        <f t="shared" si="35"/>
        <v>100.00000000000003</v>
      </c>
    </row>
    <row r="206" spans="1:17" x14ac:dyDescent="0.25">
      <c r="A206" s="13" t="s">
        <v>240</v>
      </c>
      <c r="B206" s="15">
        <v>45306</v>
      </c>
      <c r="C206" s="16">
        <v>0.26067129629629632</v>
      </c>
      <c r="D206" s="39">
        <v>0.29192129629629632</v>
      </c>
      <c r="E206" s="13" t="s">
        <v>10</v>
      </c>
      <c r="F206" s="13" t="s">
        <v>11</v>
      </c>
      <c r="G206" s="13" t="s">
        <v>14</v>
      </c>
      <c r="H206" s="13" t="s">
        <v>13</v>
      </c>
      <c r="I206" s="13" t="s">
        <v>19</v>
      </c>
      <c r="J206" s="13" t="s">
        <v>22</v>
      </c>
      <c r="K206" s="6">
        <f t="shared" si="30"/>
        <v>45</v>
      </c>
      <c r="L206" s="7" t="str" cm="1">
        <f t="array" ref="L206">_xlfn.SWITCH(J206,
  "Bentong Toll Plaza", "Short (0-50km)",
  "Karak Toll Plaza", "Short (0-50km)",
  "Lanchang Toll Plaza", "Medium (50-100km)",
  "Temerloh Toll Plaza", "Medium (50-100km)",
  "Chenor Toll Plaza", "Long (100-200km)",
  "Maran Toll Plaza", "Long (100-200km)",
  "Gambang Toll Plaza", "Long (100-200km)",
  "CHECK"
)</f>
        <v>Short (0-50km)</v>
      </c>
      <c r="M206" s="7" t="str">
        <f t="shared" si="31"/>
        <v>Off-Peak</v>
      </c>
      <c r="N206" s="7" t="str">
        <f t="shared" si="32"/>
        <v>Weekday</v>
      </c>
      <c r="O206" s="7">
        <f t="shared" si="33"/>
        <v>6</v>
      </c>
      <c r="P206" s="7" t="str">
        <f t="shared" si="34"/>
        <v>Jan</v>
      </c>
      <c r="Q206" s="6">
        <f t="shared" si="35"/>
        <v>66.666666666666671</v>
      </c>
    </row>
    <row r="207" spans="1:17" x14ac:dyDescent="0.25">
      <c r="A207" s="13" t="s">
        <v>241</v>
      </c>
      <c r="B207" s="15">
        <v>45317</v>
      </c>
      <c r="C207" s="16">
        <v>0.67052083333333334</v>
      </c>
      <c r="D207" s="39">
        <v>0.75385416666666671</v>
      </c>
      <c r="E207" s="13" t="s">
        <v>15</v>
      </c>
      <c r="F207" s="13" t="s">
        <v>23</v>
      </c>
      <c r="G207" s="13" t="s">
        <v>12</v>
      </c>
      <c r="H207" s="13" t="s">
        <v>13</v>
      </c>
      <c r="I207" s="13" t="s">
        <v>19</v>
      </c>
      <c r="J207" s="13" t="s">
        <v>21</v>
      </c>
      <c r="K207" s="6">
        <f t="shared" si="30"/>
        <v>120.00000000000006</v>
      </c>
      <c r="L207" s="7" t="str" cm="1">
        <f t="array" ref="L207">_xlfn.SWITCH(J207,
  "Bentong Toll Plaza", "Short (0-50km)",
  "Karak Toll Plaza", "Short (0-50km)",
  "Lanchang Toll Plaza", "Medium (50-100km)",
  "Temerloh Toll Plaza", "Medium (50-100km)",
  "Chenor Toll Plaza", "Long (100-200km)",
  "Maran Toll Plaza", "Long (100-200km)",
  "Gambang Toll Plaza", "Long (100-200km)",
  "CHECK"
)</f>
        <v>Medium (50-100km)</v>
      </c>
      <c r="M207" s="7" t="str">
        <f t="shared" si="31"/>
        <v>Off-Peak</v>
      </c>
      <c r="N207" s="7" t="str">
        <f t="shared" si="32"/>
        <v>Weekday</v>
      </c>
      <c r="O207" s="7">
        <f t="shared" si="33"/>
        <v>16</v>
      </c>
      <c r="P207" s="7" t="str">
        <f t="shared" si="34"/>
        <v>Jan</v>
      </c>
      <c r="Q207" s="6">
        <f t="shared" si="35"/>
        <v>49.999999999999979</v>
      </c>
    </row>
    <row r="208" spans="1:17" x14ac:dyDescent="0.25">
      <c r="A208" s="13" t="s">
        <v>242</v>
      </c>
      <c r="B208" s="15">
        <v>45328</v>
      </c>
      <c r="C208" s="16">
        <v>0.50399305555555551</v>
      </c>
      <c r="D208" s="39">
        <v>0.53524305555555551</v>
      </c>
      <c r="E208" s="13" t="s">
        <v>10</v>
      </c>
      <c r="F208" s="13" t="s">
        <v>11</v>
      </c>
      <c r="G208" s="13" t="s">
        <v>16</v>
      </c>
      <c r="H208" s="13" t="s">
        <v>13</v>
      </c>
      <c r="I208" s="13" t="s">
        <v>19</v>
      </c>
      <c r="J208" s="13" t="s">
        <v>24</v>
      </c>
      <c r="K208" s="6">
        <f t="shared" si="30"/>
        <v>45</v>
      </c>
      <c r="L208" s="7" t="str" cm="1">
        <f t="array" ref="L208">_xlfn.SWITCH(J208,
  "Bentong Toll Plaza", "Short (0-50km)",
  "Karak Toll Plaza", "Short (0-50km)",
  "Lanchang Toll Plaza", "Medium (50-100km)",
  "Temerloh Toll Plaza", "Medium (50-100km)",
  "Chenor Toll Plaza", "Long (100-200km)",
  "Maran Toll Plaza", "Long (100-200km)",
  "Gambang Toll Plaza", "Long (100-200km)",
  "CHECK"
)</f>
        <v>Short (0-50km)</v>
      </c>
      <c r="M208" s="7" t="str">
        <f t="shared" si="31"/>
        <v>Off-Peak</v>
      </c>
      <c r="N208" s="7" t="str">
        <f t="shared" si="32"/>
        <v>Weekday</v>
      </c>
      <c r="O208" s="7">
        <f t="shared" si="33"/>
        <v>12</v>
      </c>
      <c r="P208" s="7" t="str">
        <f t="shared" si="34"/>
        <v>Feb</v>
      </c>
      <c r="Q208" s="6">
        <f t="shared" si="35"/>
        <v>66.666666666666671</v>
      </c>
    </row>
    <row r="209" spans="1:17" x14ac:dyDescent="0.25">
      <c r="A209" s="13" t="s">
        <v>243</v>
      </c>
      <c r="B209" s="15">
        <v>45339</v>
      </c>
      <c r="C209" s="16">
        <v>0.30914351851851851</v>
      </c>
      <c r="D209" s="39">
        <v>0.39247685185185183</v>
      </c>
      <c r="E209" s="13" t="s">
        <v>17</v>
      </c>
      <c r="F209" s="13" t="s">
        <v>18</v>
      </c>
      <c r="G209" s="13" t="s">
        <v>16</v>
      </c>
      <c r="H209" s="13" t="s">
        <v>13</v>
      </c>
      <c r="I209" s="13" t="s">
        <v>19</v>
      </c>
      <c r="J209" s="13" t="s">
        <v>20</v>
      </c>
      <c r="K209" s="6">
        <f t="shared" si="30"/>
        <v>119.99999999999997</v>
      </c>
      <c r="L209" s="7" t="str" cm="1">
        <f t="array" ref="L209">_xlfn.SWITCH(J209,
  "Bentong Toll Plaza", "Short (0-50km)",
  "Karak Toll Plaza", "Short (0-50km)",
  "Lanchang Toll Plaza", "Medium (50-100km)",
  "Temerloh Toll Plaza", "Medium (50-100km)",
  "Chenor Toll Plaza", "Long (100-200km)",
  "Maran Toll Plaza", "Long (100-200km)",
  "Gambang Toll Plaza", "Long (100-200km)",
  "CHECK"
)</f>
        <v>Long (100-200km)</v>
      </c>
      <c r="M209" s="7" t="str">
        <f t="shared" si="31"/>
        <v>Peak</v>
      </c>
      <c r="N209" s="7" t="str">
        <f t="shared" si="32"/>
        <v>Weekend</v>
      </c>
      <c r="O209" s="7">
        <f t="shared" si="33"/>
        <v>7</v>
      </c>
      <c r="P209" s="7" t="str">
        <f t="shared" si="34"/>
        <v>Feb</v>
      </c>
      <c r="Q209" s="6">
        <f t="shared" si="35"/>
        <v>100.00000000000003</v>
      </c>
    </row>
    <row r="210" spans="1:17" x14ac:dyDescent="0.25">
      <c r="A210" s="13" t="s">
        <v>244</v>
      </c>
      <c r="B210" s="15">
        <v>45350</v>
      </c>
      <c r="C210" s="16">
        <v>0.24690972222222221</v>
      </c>
      <c r="D210" s="39">
        <v>0.27815972222222224</v>
      </c>
      <c r="E210" s="13" t="s">
        <v>10</v>
      </c>
      <c r="F210" s="13" t="s">
        <v>11</v>
      </c>
      <c r="G210" s="13" t="s">
        <v>14</v>
      </c>
      <c r="H210" s="13" t="s">
        <v>13</v>
      </c>
      <c r="I210" s="13" t="s">
        <v>19</v>
      </c>
      <c r="J210" s="13" t="s">
        <v>22</v>
      </c>
      <c r="K210" s="6">
        <f t="shared" si="30"/>
        <v>45.000000000000043</v>
      </c>
      <c r="L210" s="7" t="str" cm="1">
        <f t="array" ref="L210">_xlfn.SWITCH(J210,
  "Bentong Toll Plaza", "Short (0-50km)",
  "Karak Toll Plaza", "Short (0-50km)",
  "Lanchang Toll Plaza", "Medium (50-100km)",
  "Temerloh Toll Plaza", "Medium (50-100km)",
  "Chenor Toll Plaza", "Long (100-200km)",
  "Maran Toll Plaza", "Long (100-200km)",
  "Gambang Toll Plaza", "Long (100-200km)",
  "CHECK"
)</f>
        <v>Short (0-50km)</v>
      </c>
      <c r="M210" s="7" t="str">
        <f t="shared" si="31"/>
        <v>Off-Peak</v>
      </c>
      <c r="N210" s="7" t="str">
        <f t="shared" si="32"/>
        <v>Weekday</v>
      </c>
      <c r="O210" s="7">
        <f t="shared" si="33"/>
        <v>5</v>
      </c>
      <c r="P210" s="7" t="str">
        <f t="shared" si="34"/>
        <v>Feb</v>
      </c>
      <c r="Q210" s="6">
        <f t="shared" si="35"/>
        <v>66.6666666666666</v>
      </c>
    </row>
    <row r="211" spans="1:17" x14ac:dyDescent="0.25">
      <c r="A211" s="13" t="s">
        <v>245</v>
      </c>
      <c r="B211" s="15">
        <v>45361</v>
      </c>
      <c r="C211" s="16">
        <v>0.56969907407407405</v>
      </c>
      <c r="D211" s="39">
        <v>0.65303240740740742</v>
      </c>
      <c r="E211" s="13" t="s">
        <v>15</v>
      </c>
      <c r="F211" s="13" t="s">
        <v>23</v>
      </c>
      <c r="G211" s="13" t="s">
        <v>12</v>
      </c>
      <c r="H211" s="13" t="s">
        <v>13</v>
      </c>
      <c r="I211" s="13" t="s">
        <v>19</v>
      </c>
      <c r="J211" s="13" t="s">
        <v>21</v>
      </c>
      <c r="K211" s="6">
        <f t="shared" si="30"/>
        <v>120.00000000000006</v>
      </c>
      <c r="L211" s="7" t="str" cm="1">
        <f t="array" ref="L211">_xlfn.SWITCH(J211,
  "Bentong Toll Plaza", "Short (0-50km)",
  "Karak Toll Plaza", "Short (0-50km)",
  "Lanchang Toll Plaza", "Medium (50-100km)",
  "Temerloh Toll Plaza", "Medium (50-100km)",
  "Chenor Toll Plaza", "Long (100-200km)",
  "Maran Toll Plaza", "Long (100-200km)",
  "Gambang Toll Plaza", "Long (100-200km)",
  "CHECK"
)</f>
        <v>Medium (50-100km)</v>
      </c>
      <c r="M211" s="7" t="str">
        <f t="shared" si="31"/>
        <v>Off-Peak</v>
      </c>
      <c r="N211" s="7" t="str">
        <f t="shared" si="32"/>
        <v>Weekend</v>
      </c>
      <c r="O211" s="7">
        <f t="shared" si="33"/>
        <v>13</v>
      </c>
      <c r="P211" s="7" t="str">
        <f t="shared" si="34"/>
        <v>Mar</v>
      </c>
      <c r="Q211" s="6">
        <f t="shared" si="35"/>
        <v>49.999999999999979</v>
      </c>
    </row>
    <row r="212" spans="1:17" x14ac:dyDescent="0.25">
      <c r="A212" s="13" t="s">
        <v>246</v>
      </c>
      <c r="B212" s="15">
        <v>45372</v>
      </c>
      <c r="C212" s="16">
        <v>0.25361111111111112</v>
      </c>
      <c r="D212" s="39">
        <v>0.28486111111111112</v>
      </c>
      <c r="E212" s="13" t="s">
        <v>10</v>
      </c>
      <c r="F212" s="13" t="s">
        <v>11</v>
      </c>
      <c r="G212" s="13" t="s">
        <v>16</v>
      </c>
      <c r="H212" s="13" t="s">
        <v>13</v>
      </c>
      <c r="I212" s="13" t="s">
        <v>19</v>
      </c>
      <c r="J212" s="13" t="s">
        <v>24</v>
      </c>
      <c r="K212" s="6">
        <f t="shared" si="30"/>
        <v>45</v>
      </c>
      <c r="L212" s="7" t="str" cm="1">
        <f t="array" ref="L212">_xlfn.SWITCH(J212,
  "Bentong Toll Plaza", "Short (0-50km)",
  "Karak Toll Plaza", "Short (0-50km)",
  "Lanchang Toll Plaza", "Medium (50-100km)",
  "Temerloh Toll Plaza", "Medium (50-100km)",
  "Chenor Toll Plaza", "Long (100-200km)",
  "Maran Toll Plaza", "Long (100-200km)",
  "Gambang Toll Plaza", "Long (100-200km)",
  "CHECK"
)</f>
        <v>Short (0-50km)</v>
      </c>
      <c r="M212" s="7" t="str">
        <f t="shared" si="31"/>
        <v>Off-Peak</v>
      </c>
      <c r="N212" s="7" t="str">
        <f t="shared" si="32"/>
        <v>Weekday</v>
      </c>
      <c r="O212" s="7">
        <f t="shared" si="33"/>
        <v>6</v>
      </c>
      <c r="P212" s="7" t="str">
        <f t="shared" si="34"/>
        <v>Mar</v>
      </c>
      <c r="Q212" s="6">
        <f t="shared" si="35"/>
        <v>66.666666666666671</v>
      </c>
    </row>
    <row r="213" spans="1:17" x14ac:dyDescent="0.25">
      <c r="A213" s="13" t="s">
        <v>247</v>
      </c>
      <c r="B213" s="15">
        <v>45383</v>
      </c>
      <c r="C213" s="16">
        <v>0.38385416666666666</v>
      </c>
      <c r="D213" s="39">
        <v>0.46718749999999998</v>
      </c>
      <c r="E213" s="13" t="s">
        <v>17</v>
      </c>
      <c r="F213" s="13" t="s">
        <v>18</v>
      </c>
      <c r="G213" s="13" t="s">
        <v>14</v>
      </c>
      <c r="H213" s="13" t="s">
        <v>13</v>
      </c>
      <c r="I213" s="13" t="s">
        <v>19</v>
      </c>
      <c r="J213" s="13" t="s">
        <v>20</v>
      </c>
      <c r="K213" s="6">
        <f t="shared" si="30"/>
        <v>119.99999999999997</v>
      </c>
      <c r="L213" s="7" t="str" cm="1">
        <f t="array" ref="L213">_xlfn.SWITCH(J213,
  "Bentong Toll Plaza", "Short (0-50km)",
  "Karak Toll Plaza", "Short (0-50km)",
  "Lanchang Toll Plaza", "Medium (50-100km)",
  "Temerloh Toll Plaza", "Medium (50-100km)",
  "Chenor Toll Plaza", "Long (100-200km)",
  "Maran Toll Plaza", "Long (100-200km)",
  "Gambang Toll Plaza", "Long (100-200km)",
  "CHECK"
)</f>
        <v>Long (100-200km)</v>
      </c>
      <c r="M213" s="7" t="str">
        <f t="shared" si="31"/>
        <v>Off-Peak</v>
      </c>
      <c r="N213" s="7" t="str">
        <f t="shared" si="32"/>
        <v>Weekday</v>
      </c>
      <c r="O213" s="7">
        <f t="shared" si="33"/>
        <v>9</v>
      </c>
      <c r="P213" s="7" t="str">
        <f t="shared" si="34"/>
        <v>Apr</v>
      </c>
      <c r="Q213" s="6">
        <f t="shared" si="35"/>
        <v>100.00000000000003</v>
      </c>
    </row>
    <row r="214" spans="1:17" x14ac:dyDescent="0.25">
      <c r="A214" s="13" t="s">
        <v>248</v>
      </c>
      <c r="B214" s="15">
        <v>45394</v>
      </c>
      <c r="C214" s="16">
        <v>0.36843749999999997</v>
      </c>
      <c r="D214" s="39">
        <v>0.39968749999999997</v>
      </c>
      <c r="E214" s="13" t="s">
        <v>10</v>
      </c>
      <c r="F214" s="13" t="s">
        <v>11</v>
      </c>
      <c r="G214" s="13" t="s">
        <v>14</v>
      </c>
      <c r="H214" s="13" t="s">
        <v>13</v>
      </c>
      <c r="I214" s="13" t="s">
        <v>19</v>
      </c>
      <c r="J214" s="13" t="s">
        <v>24</v>
      </c>
      <c r="K214" s="6">
        <f t="shared" si="30"/>
        <v>45</v>
      </c>
      <c r="L214" s="7" t="str" cm="1">
        <f t="array" ref="L214">_xlfn.SWITCH(J214,
  "Bentong Toll Plaza", "Short (0-50km)",
  "Karak Toll Plaza", "Short (0-50km)",
  "Lanchang Toll Plaza", "Medium (50-100km)",
  "Temerloh Toll Plaza", "Medium (50-100km)",
  "Chenor Toll Plaza", "Long (100-200km)",
  "Maran Toll Plaza", "Long (100-200km)",
  "Gambang Toll Plaza", "Long (100-200km)",
  "CHECK"
)</f>
        <v>Short (0-50km)</v>
      </c>
      <c r="M214" s="7" t="str">
        <f t="shared" si="31"/>
        <v>Peak</v>
      </c>
      <c r="N214" s="7" t="str">
        <f t="shared" si="32"/>
        <v>Weekday</v>
      </c>
      <c r="O214" s="7">
        <f t="shared" si="33"/>
        <v>8</v>
      </c>
      <c r="P214" s="7" t="str">
        <f t="shared" si="34"/>
        <v>Apr</v>
      </c>
      <c r="Q214" s="6">
        <f t="shared" si="35"/>
        <v>66.666666666666671</v>
      </c>
    </row>
    <row r="215" spans="1:17" x14ac:dyDescent="0.25">
      <c r="A215" s="13" t="s">
        <v>249</v>
      </c>
      <c r="B215" s="15">
        <v>45405</v>
      </c>
      <c r="C215" s="16">
        <v>0.62861111111111112</v>
      </c>
      <c r="D215" s="39">
        <v>0.71194444444444449</v>
      </c>
      <c r="E215" s="13" t="s">
        <v>15</v>
      </c>
      <c r="F215" s="13" t="s">
        <v>23</v>
      </c>
      <c r="G215" s="13" t="s">
        <v>12</v>
      </c>
      <c r="H215" s="13" t="s">
        <v>13</v>
      </c>
      <c r="I215" s="13" t="s">
        <v>19</v>
      </c>
      <c r="J215" s="13" t="s">
        <v>21</v>
      </c>
      <c r="K215" s="6">
        <f t="shared" si="30"/>
        <v>120.00000000000006</v>
      </c>
      <c r="L215" s="7" t="str" cm="1">
        <f t="array" ref="L215">_xlfn.SWITCH(J215,
  "Bentong Toll Plaza", "Short (0-50km)",
  "Karak Toll Plaza", "Short (0-50km)",
  "Lanchang Toll Plaza", "Medium (50-100km)",
  "Temerloh Toll Plaza", "Medium (50-100km)",
  "Chenor Toll Plaza", "Long (100-200km)",
  "Maran Toll Plaza", "Long (100-200km)",
  "Gambang Toll Plaza", "Long (100-200km)",
  "CHECK"
)</f>
        <v>Medium (50-100km)</v>
      </c>
      <c r="M215" s="7" t="str">
        <f t="shared" si="31"/>
        <v>Off-Peak</v>
      </c>
      <c r="N215" s="7" t="str">
        <f t="shared" si="32"/>
        <v>Weekday</v>
      </c>
      <c r="O215" s="7">
        <f t="shared" si="33"/>
        <v>15</v>
      </c>
      <c r="P215" s="7" t="str">
        <f t="shared" si="34"/>
        <v>Apr</v>
      </c>
      <c r="Q215" s="6">
        <f t="shared" si="35"/>
        <v>49.999999999999979</v>
      </c>
    </row>
    <row r="216" spans="1:17" x14ac:dyDescent="0.25">
      <c r="A216" s="13" t="s">
        <v>250</v>
      </c>
      <c r="B216" s="15">
        <v>45416</v>
      </c>
      <c r="C216" s="16">
        <v>0.30581018518518521</v>
      </c>
      <c r="D216" s="39">
        <v>0.33706018518518521</v>
      </c>
      <c r="E216" s="13" t="s">
        <v>10</v>
      </c>
      <c r="F216" s="13" t="s">
        <v>11</v>
      </c>
      <c r="G216" s="13" t="s">
        <v>16</v>
      </c>
      <c r="H216" s="13" t="s">
        <v>13</v>
      </c>
      <c r="I216" s="13" t="s">
        <v>19</v>
      </c>
      <c r="J216" s="13" t="s">
        <v>22</v>
      </c>
      <c r="K216" s="6">
        <f t="shared" si="30"/>
        <v>45</v>
      </c>
      <c r="L216" s="7" t="str" cm="1">
        <f t="array" ref="L216">_xlfn.SWITCH(J216,
  "Bentong Toll Plaza", "Short (0-50km)",
  "Karak Toll Plaza", "Short (0-50km)",
  "Lanchang Toll Plaza", "Medium (50-100km)",
  "Temerloh Toll Plaza", "Medium (50-100km)",
  "Chenor Toll Plaza", "Long (100-200km)",
  "Maran Toll Plaza", "Long (100-200km)",
  "Gambang Toll Plaza", "Long (100-200km)",
  "CHECK"
)</f>
        <v>Short (0-50km)</v>
      </c>
      <c r="M216" s="7" t="str">
        <f t="shared" si="31"/>
        <v>Peak</v>
      </c>
      <c r="N216" s="7" t="str">
        <f t="shared" si="32"/>
        <v>Weekend</v>
      </c>
      <c r="O216" s="7">
        <f t="shared" si="33"/>
        <v>7</v>
      </c>
      <c r="P216" s="7" t="str">
        <f t="shared" si="34"/>
        <v>May</v>
      </c>
      <c r="Q216" s="6">
        <f t="shared" si="35"/>
        <v>66.666666666666671</v>
      </c>
    </row>
    <row r="217" spans="1:17" x14ac:dyDescent="0.25">
      <c r="A217" s="13" t="s">
        <v>251</v>
      </c>
      <c r="B217" s="15">
        <v>45427</v>
      </c>
      <c r="C217" s="16">
        <v>0.42025462962962962</v>
      </c>
      <c r="D217" s="39">
        <v>0.50358796296296293</v>
      </c>
      <c r="E217" s="13" t="s">
        <v>17</v>
      </c>
      <c r="F217" s="13" t="s">
        <v>18</v>
      </c>
      <c r="G217" s="13" t="s">
        <v>16</v>
      </c>
      <c r="H217" s="13" t="s">
        <v>13</v>
      </c>
      <c r="I217" s="13" t="s">
        <v>19</v>
      </c>
      <c r="J217" s="13" t="s">
        <v>20</v>
      </c>
      <c r="K217" s="6">
        <f t="shared" si="30"/>
        <v>119.99999999999997</v>
      </c>
      <c r="L217" s="7" t="str" cm="1">
        <f t="array" ref="L217">_xlfn.SWITCH(J217,
  "Bentong Toll Plaza", "Short (0-50km)",
  "Karak Toll Plaza", "Short (0-50km)",
  "Lanchang Toll Plaza", "Medium (50-100km)",
  "Temerloh Toll Plaza", "Medium (50-100km)",
  "Chenor Toll Plaza", "Long (100-200km)",
  "Maran Toll Plaza", "Long (100-200km)",
  "Gambang Toll Plaza", "Long (100-200km)",
  "CHECK"
)</f>
        <v>Long (100-200km)</v>
      </c>
      <c r="M217" s="7" t="str">
        <f t="shared" si="31"/>
        <v>Off-Peak</v>
      </c>
      <c r="N217" s="7" t="str">
        <f t="shared" si="32"/>
        <v>Weekday</v>
      </c>
      <c r="O217" s="7">
        <f t="shared" si="33"/>
        <v>10</v>
      </c>
      <c r="P217" s="7" t="str">
        <f t="shared" si="34"/>
        <v>May</v>
      </c>
      <c r="Q217" s="6">
        <f t="shared" si="35"/>
        <v>100.00000000000003</v>
      </c>
    </row>
    <row r="218" spans="1:17" x14ac:dyDescent="0.25">
      <c r="A218" s="13" t="s">
        <v>252</v>
      </c>
      <c r="B218" s="15">
        <v>45438</v>
      </c>
      <c r="C218" s="16">
        <v>0.25885416666666666</v>
      </c>
      <c r="D218" s="39">
        <v>0.29010416666666666</v>
      </c>
      <c r="E218" s="13" t="s">
        <v>10</v>
      </c>
      <c r="F218" s="13" t="s">
        <v>11</v>
      </c>
      <c r="G218" s="13" t="s">
        <v>14</v>
      </c>
      <c r="H218" s="13" t="s">
        <v>13</v>
      </c>
      <c r="I218" s="13" t="s">
        <v>19</v>
      </c>
      <c r="J218" s="13" t="s">
        <v>24</v>
      </c>
      <c r="K218" s="6">
        <f t="shared" si="30"/>
        <v>45</v>
      </c>
      <c r="L218" s="7" t="str" cm="1">
        <f t="array" ref="L218">_xlfn.SWITCH(J218,
  "Bentong Toll Plaza", "Short (0-50km)",
  "Karak Toll Plaza", "Short (0-50km)",
  "Lanchang Toll Plaza", "Medium (50-100km)",
  "Temerloh Toll Plaza", "Medium (50-100km)",
  "Chenor Toll Plaza", "Long (100-200km)",
  "Maran Toll Plaza", "Long (100-200km)",
  "Gambang Toll Plaza", "Long (100-200km)",
  "CHECK"
)</f>
        <v>Short (0-50km)</v>
      </c>
      <c r="M218" s="7" t="str">
        <f t="shared" si="31"/>
        <v>Off-Peak</v>
      </c>
      <c r="N218" s="7" t="str">
        <f t="shared" si="32"/>
        <v>Weekend</v>
      </c>
      <c r="O218" s="7">
        <f t="shared" si="33"/>
        <v>6</v>
      </c>
      <c r="P218" s="7" t="str">
        <f t="shared" si="34"/>
        <v>May</v>
      </c>
      <c r="Q218" s="6">
        <f t="shared" si="35"/>
        <v>66.666666666666671</v>
      </c>
    </row>
    <row r="219" spans="1:17" x14ac:dyDescent="0.25">
      <c r="A219" s="13" t="s">
        <v>253</v>
      </c>
      <c r="B219" s="15">
        <v>45449</v>
      </c>
      <c r="C219" s="16">
        <v>0.71913194444444439</v>
      </c>
      <c r="D219" s="39">
        <v>0.80246527777777776</v>
      </c>
      <c r="E219" s="13" t="s">
        <v>15</v>
      </c>
      <c r="F219" s="13" t="s">
        <v>23</v>
      </c>
      <c r="G219" s="13" t="s">
        <v>12</v>
      </c>
      <c r="H219" s="13" t="s">
        <v>13</v>
      </c>
      <c r="I219" s="13" t="s">
        <v>19</v>
      </c>
      <c r="J219" s="13" t="s">
        <v>21</v>
      </c>
      <c r="K219" s="6">
        <f t="shared" si="30"/>
        <v>120.00000000000006</v>
      </c>
      <c r="L219" s="7" t="str" cm="1">
        <f t="array" ref="L219">_xlfn.SWITCH(J219,
  "Bentong Toll Plaza", "Short (0-50km)",
  "Karak Toll Plaza", "Short (0-50km)",
  "Lanchang Toll Plaza", "Medium (50-100km)",
  "Temerloh Toll Plaza", "Medium (50-100km)",
  "Chenor Toll Plaza", "Long (100-200km)",
  "Maran Toll Plaza", "Long (100-200km)",
  "Gambang Toll Plaza", "Long (100-200km)",
  "CHECK"
)</f>
        <v>Medium (50-100km)</v>
      </c>
      <c r="M219" s="7" t="str">
        <f t="shared" si="31"/>
        <v>Peak</v>
      </c>
      <c r="N219" s="7" t="str">
        <f t="shared" si="32"/>
        <v>Weekday</v>
      </c>
      <c r="O219" s="7">
        <f t="shared" si="33"/>
        <v>17</v>
      </c>
      <c r="P219" s="7" t="str">
        <f t="shared" si="34"/>
        <v>Jun</v>
      </c>
      <c r="Q219" s="6">
        <f t="shared" si="35"/>
        <v>49.999999999999979</v>
      </c>
    </row>
    <row r="220" spans="1:17" x14ac:dyDescent="0.25">
      <c r="A220" s="13" t="s">
        <v>254</v>
      </c>
      <c r="B220" s="15">
        <v>45460</v>
      </c>
      <c r="C220" s="16">
        <v>0.53486111111111112</v>
      </c>
      <c r="D220" s="39">
        <v>0.56611111111111112</v>
      </c>
      <c r="E220" s="13" t="s">
        <v>10</v>
      </c>
      <c r="F220" s="13" t="s">
        <v>11</v>
      </c>
      <c r="G220" s="13" t="s">
        <v>16</v>
      </c>
      <c r="H220" s="13" t="s">
        <v>13</v>
      </c>
      <c r="I220" s="13" t="s">
        <v>19</v>
      </c>
      <c r="J220" s="13" t="s">
        <v>22</v>
      </c>
      <c r="K220" s="6">
        <f t="shared" si="30"/>
        <v>45</v>
      </c>
      <c r="L220" s="7" t="str" cm="1">
        <f t="array" ref="L220">_xlfn.SWITCH(J220,
  "Bentong Toll Plaza", "Short (0-50km)",
  "Karak Toll Plaza", "Short (0-50km)",
  "Lanchang Toll Plaza", "Medium (50-100km)",
  "Temerloh Toll Plaza", "Medium (50-100km)",
  "Chenor Toll Plaza", "Long (100-200km)",
  "Maran Toll Plaza", "Long (100-200km)",
  "Gambang Toll Plaza", "Long (100-200km)",
  "CHECK"
)</f>
        <v>Short (0-50km)</v>
      </c>
      <c r="M220" s="7" t="str">
        <f t="shared" si="31"/>
        <v>Off-Peak</v>
      </c>
      <c r="N220" s="7" t="str">
        <f t="shared" si="32"/>
        <v>Weekday</v>
      </c>
      <c r="O220" s="7">
        <f t="shared" si="33"/>
        <v>12</v>
      </c>
      <c r="P220" s="7" t="str">
        <f t="shared" si="34"/>
        <v>Jun</v>
      </c>
      <c r="Q220" s="6">
        <f t="shared" si="35"/>
        <v>66.666666666666671</v>
      </c>
    </row>
    <row r="221" spans="1:17" x14ac:dyDescent="0.25">
      <c r="A221" s="13" t="s">
        <v>255</v>
      </c>
      <c r="B221" s="15">
        <v>45471</v>
      </c>
      <c r="C221" s="16">
        <v>0.29539351851851853</v>
      </c>
      <c r="D221" s="39">
        <v>0.37872685185185184</v>
      </c>
      <c r="E221" s="13" t="s">
        <v>17</v>
      </c>
      <c r="F221" s="13" t="s">
        <v>18</v>
      </c>
      <c r="G221" s="13" t="s">
        <v>16</v>
      </c>
      <c r="H221" s="13" t="s">
        <v>13</v>
      </c>
      <c r="I221" s="13" t="s">
        <v>19</v>
      </c>
      <c r="J221" s="13" t="s">
        <v>20</v>
      </c>
      <c r="K221" s="6">
        <f t="shared" si="30"/>
        <v>119.99999999999997</v>
      </c>
      <c r="L221" s="7" t="str" cm="1">
        <f t="array" ref="L221">_xlfn.SWITCH(J221,
  "Bentong Toll Plaza", "Short (0-50km)",
  "Karak Toll Plaza", "Short (0-50km)",
  "Lanchang Toll Plaza", "Medium (50-100km)",
  "Temerloh Toll Plaza", "Medium (50-100km)",
  "Chenor Toll Plaza", "Long (100-200km)",
  "Maran Toll Plaza", "Long (100-200km)",
  "Gambang Toll Plaza", "Long (100-200km)",
  "CHECK"
)</f>
        <v>Long (100-200km)</v>
      </c>
      <c r="M221" s="7" t="str">
        <f t="shared" si="31"/>
        <v>Peak</v>
      </c>
      <c r="N221" s="7" t="str">
        <f t="shared" si="32"/>
        <v>Weekday</v>
      </c>
      <c r="O221" s="7">
        <f t="shared" si="33"/>
        <v>7</v>
      </c>
      <c r="P221" s="7" t="str">
        <f t="shared" si="34"/>
        <v>Jun</v>
      </c>
      <c r="Q221" s="6">
        <f t="shared" si="35"/>
        <v>100.00000000000003</v>
      </c>
    </row>
    <row r="222" spans="1:17" x14ac:dyDescent="0.25">
      <c r="A222" s="13" t="s">
        <v>256</v>
      </c>
      <c r="B222" s="15">
        <v>45293</v>
      </c>
      <c r="C222" s="16">
        <v>0.25858796296296294</v>
      </c>
      <c r="D222" s="39">
        <v>0.28983796296296294</v>
      </c>
      <c r="E222" s="13" t="s">
        <v>10</v>
      </c>
      <c r="F222" s="13" t="s">
        <v>11</v>
      </c>
      <c r="G222" s="13" t="s">
        <v>16</v>
      </c>
      <c r="H222" s="13" t="s">
        <v>13</v>
      </c>
      <c r="I222" s="13" t="s">
        <v>19</v>
      </c>
      <c r="J222" s="13" t="s">
        <v>24</v>
      </c>
      <c r="K222" s="6">
        <f t="shared" ref="K222:K241" si="36">IF(D222&lt;C222, ((D222+1)-C222)*1440, (D222-C222)*1440)</f>
        <v>45</v>
      </c>
      <c r="L222" s="7" t="str" cm="1">
        <f t="array" ref="L222">_xlfn.SWITCH(J222,
  "Bentong Toll Plaza", "Short (0-50km)",
  "Karak Toll Plaza", "Short (0-50km)",
  "Lanchang Toll Plaza", "Medium (50-100km)",
  "Temerloh Toll Plaza", "Medium (50-100km)",
  "Chenor Toll Plaza", "Long (100-200km)",
  "Maran Toll Plaza", "Long (100-200km)",
  "Gambang Toll Plaza", "Long (100-200km)",
  "CHECK"
)</f>
        <v>Short (0-50km)</v>
      </c>
      <c r="M222" s="7" t="str">
        <f t="shared" ref="M222:M241" si="37">IF(OR(
    AND(MOD(C222,1)&gt;=TIME(7,0,0), MOD(C222,1)&lt;=TIME(9,0,0)),
    AND(MOD(C222,1)&gt;=TIME(17,0,0), MOD(C222,1)&lt;=TIME(19,0,0))
), "Peak", "Off-Peak")</f>
        <v>Off-Peak</v>
      </c>
      <c r="N222" s="7" t="str">
        <f t="shared" ref="N222:N241" si="38">IF(WEEKDAY(B222,2)&gt;=6, "Weekend", "Weekday")</f>
        <v>Weekday</v>
      </c>
      <c r="O222" s="7">
        <f t="shared" ref="O222:O241" si="39">HOUR(C222)</f>
        <v>6</v>
      </c>
      <c r="P222" s="7" t="str">
        <f t="shared" ref="P222:P241" si="40">TEXT(B222,"mmm")</f>
        <v>Jan</v>
      </c>
      <c r="Q222" s="6">
        <f t="shared" ref="Q222:Q241" si="41">IF(L222="Short (0-50km)", (50/(K222/60)),
 IF(L222="Medium (50-100km)", (100/(K222/60)),
 IF(L222="Long (100-200km)", (200/(K222/60)),
 "Invalid")))</f>
        <v>66.666666666666671</v>
      </c>
    </row>
    <row r="223" spans="1:17" x14ac:dyDescent="0.25">
      <c r="A223" s="13" t="s">
        <v>257</v>
      </c>
      <c r="B223" s="15">
        <v>45294</v>
      </c>
      <c r="C223" s="16">
        <v>0.41010416666666666</v>
      </c>
      <c r="D223" s="39">
        <v>0.49343749999999997</v>
      </c>
      <c r="E223" s="13" t="s">
        <v>17</v>
      </c>
      <c r="F223" s="13" t="s">
        <v>18</v>
      </c>
      <c r="G223" s="13" t="s">
        <v>14</v>
      </c>
      <c r="H223" s="13" t="s">
        <v>13</v>
      </c>
      <c r="I223" s="13" t="s">
        <v>19</v>
      </c>
      <c r="J223" s="13" t="s">
        <v>20</v>
      </c>
      <c r="K223" s="6">
        <f t="shared" si="36"/>
        <v>119.99999999999997</v>
      </c>
      <c r="L223" s="7" t="str" cm="1">
        <f t="array" ref="L223">_xlfn.SWITCH(J223,
  "Bentong Toll Plaza", "Short (0-50km)",
  "Karak Toll Plaza", "Short (0-50km)",
  "Lanchang Toll Plaza", "Medium (50-100km)",
  "Temerloh Toll Plaza", "Medium (50-100km)",
  "Chenor Toll Plaza", "Long (100-200km)",
  "Maran Toll Plaza", "Long (100-200km)",
  "Gambang Toll Plaza", "Long (100-200km)",
  "CHECK"
)</f>
        <v>Long (100-200km)</v>
      </c>
      <c r="M223" s="7" t="str">
        <f t="shared" si="37"/>
        <v>Off-Peak</v>
      </c>
      <c r="N223" s="7" t="str">
        <f t="shared" si="38"/>
        <v>Weekday</v>
      </c>
      <c r="O223" s="7">
        <f t="shared" si="39"/>
        <v>9</v>
      </c>
      <c r="P223" s="7" t="str">
        <f t="shared" si="40"/>
        <v>Jan</v>
      </c>
      <c r="Q223" s="6">
        <f t="shared" si="41"/>
        <v>100.00000000000003</v>
      </c>
    </row>
    <row r="224" spans="1:17" x14ac:dyDescent="0.25">
      <c r="A224" s="13" t="s">
        <v>258</v>
      </c>
      <c r="B224" s="15">
        <v>45295</v>
      </c>
      <c r="C224" s="16">
        <v>0.71194444444444449</v>
      </c>
      <c r="D224" s="39">
        <v>0.79527777777777775</v>
      </c>
      <c r="E224" s="13" t="s">
        <v>15</v>
      </c>
      <c r="F224" s="13" t="s">
        <v>23</v>
      </c>
      <c r="G224" s="13" t="s">
        <v>12</v>
      </c>
      <c r="H224" s="13" t="s">
        <v>13</v>
      </c>
      <c r="I224" s="13" t="s">
        <v>19</v>
      </c>
      <c r="J224" s="13" t="s">
        <v>21</v>
      </c>
      <c r="K224" s="6">
        <f t="shared" si="36"/>
        <v>119.99999999999989</v>
      </c>
      <c r="L224" s="7" t="str" cm="1">
        <f t="array" ref="L224">_xlfn.SWITCH(J224,
  "Bentong Toll Plaza", "Short (0-50km)",
  "Karak Toll Plaza", "Short (0-50km)",
  "Lanchang Toll Plaza", "Medium (50-100km)",
  "Temerloh Toll Plaza", "Medium (50-100km)",
  "Chenor Toll Plaza", "Long (100-200km)",
  "Maran Toll Plaza", "Long (100-200km)",
  "Gambang Toll Plaza", "Long (100-200km)",
  "CHECK"
)</f>
        <v>Medium (50-100km)</v>
      </c>
      <c r="M224" s="7" t="str">
        <f t="shared" si="37"/>
        <v>Peak</v>
      </c>
      <c r="N224" s="7" t="str">
        <f t="shared" si="38"/>
        <v>Weekday</v>
      </c>
      <c r="O224" s="7">
        <f t="shared" si="39"/>
        <v>17</v>
      </c>
      <c r="P224" s="7" t="str">
        <f t="shared" si="40"/>
        <v>Jan</v>
      </c>
      <c r="Q224" s="6">
        <f t="shared" si="41"/>
        <v>50.00000000000005</v>
      </c>
    </row>
    <row r="225" spans="1:17" x14ac:dyDescent="0.25">
      <c r="A225" s="13" t="s">
        <v>259</v>
      </c>
      <c r="B225" s="15">
        <v>45296</v>
      </c>
      <c r="C225" s="16">
        <v>0.53483796296296293</v>
      </c>
      <c r="D225" s="39">
        <v>0.56608796296296293</v>
      </c>
      <c r="E225" s="13" t="s">
        <v>10</v>
      </c>
      <c r="F225" s="13" t="s">
        <v>11</v>
      </c>
      <c r="G225" s="13" t="s">
        <v>16</v>
      </c>
      <c r="H225" s="13" t="s">
        <v>13</v>
      </c>
      <c r="I225" s="13" t="s">
        <v>19</v>
      </c>
      <c r="J225" s="13" t="s">
        <v>22</v>
      </c>
      <c r="K225" s="6">
        <f t="shared" si="36"/>
        <v>45</v>
      </c>
      <c r="L225" s="7" t="str" cm="1">
        <f t="array" ref="L225">_xlfn.SWITCH(J225,
  "Bentong Toll Plaza", "Short (0-50km)",
  "Karak Toll Plaza", "Short (0-50km)",
  "Lanchang Toll Plaza", "Medium (50-100km)",
  "Temerloh Toll Plaza", "Medium (50-100km)",
  "Chenor Toll Plaza", "Long (100-200km)",
  "Maran Toll Plaza", "Long (100-200km)",
  "Gambang Toll Plaza", "Long (100-200km)",
  "CHECK"
)</f>
        <v>Short (0-50km)</v>
      </c>
      <c r="M225" s="7" t="str">
        <f t="shared" si="37"/>
        <v>Off-Peak</v>
      </c>
      <c r="N225" s="7" t="str">
        <f t="shared" si="38"/>
        <v>Weekday</v>
      </c>
      <c r="O225" s="7">
        <f t="shared" si="39"/>
        <v>12</v>
      </c>
      <c r="P225" s="7" t="str">
        <f t="shared" si="40"/>
        <v>Jan</v>
      </c>
      <c r="Q225" s="6">
        <f t="shared" si="41"/>
        <v>66.666666666666671</v>
      </c>
    </row>
    <row r="226" spans="1:17" x14ac:dyDescent="0.25">
      <c r="A226" s="13" t="s">
        <v>260</v>
      </c>
      <c r="B226" s="15">
        <v>45297</v>
      </c>
      <c r="C226" s="16">
        <v>0.30246527777777776</v>
      </c>
      <c r="D226" s="39">
        <v>0.33371527777777776</v>
      </c>
      <c r="E226" s="13" t="s">
        <v>10</v>
      </c>
      <c r="F226" s="13" t="s">
        <v>11</v>
      </c>
      <c r="G226" s="13" t="s">
        <v>14</v>
      </c>
      <c r="H226" s="13" t="s">
        <v>13</v>
      </c>
      <c r="I226" s="13" t="s">
        <v>19</v>
      </c>
      <c r="J226" s="13" t="s">
        <v>24</v>
      </c>
      <c r="K226" s="6">
        <f t="shared" si="36"/>
        <v>45</v>
      </c>
      <c r="L226" s="7" t="str" cm="1">
        <f t="array" ref="L226">_xlfn.SWITCH(J226,
  "Bentong Toll Plaza", "Short (0-50km)",
  "Karak Toll Plaza", "Short (0-50km)",
  "Lanchang Toll Plaza", "Medium (50-100km)",
  "Temerloh Toll Plaza", "Medium (50-100km)",
  "Chenor Toll Plaza", "Long (100-200km)",
  "Maran Toll Plaza", "Long (100-200km)",
  "Gambang Toll Plaza", "Long (100-200km)",
  "CHECK"
)</f>
        <v>Short (0-50km)</v>
      </c>
      <c r="M226" s="7" t="str">
        <f t="shared" si="37"/>
        <v>Peak</v>
      </c>
      <c r="N226" s="7" t="str">
        <f t="shared" si="38"/>
        <v>Weekend</v>
      </c>
      <c r="O226" s="7">
        <f t="shared" si="39"/>
        <v>7</v>
      </c>
      <c r="P226" s="7" t="str">
        <f t="shared" si="40"/>
        <v>Jan</v>
      </c>
      <c r="Q226" s="6">
        <f t="shared" si="41"/>
        <v>66.666666666666671</v>
      </c>
    </row>
    <row r="227" spans="1:17" x14ac:dyDescent="0.25">
      <c r="A227" s="13" t="s">
        <v>261</v>
      </c>
      <c r="B227" s="15">
        <v>45298</v>
      </c>
      <c r="C227" s="16">
        <v>0.37861111111111112</v>
      </c>
      <c r="D227" s="39">
        <v>0.46194444444444444</v>
      </c>
      <c r="E227" s="13" t="s">
        <v>17</v>
      </c>
      <c r="F227" s="13" t="s">
        <v>18</v>
      </c>
      <c r="G227" s="13" t="s">
        <v>16</v>
      </c>
      <c r="H227" s="13" t="s">
        <v>13</v>
      </c>
      <c r="I227" s="13" t="s">
        <v>19</v>
      </c>
      <c r="J227" s="13" t="s">
        <v>20</v>
      </c>
      <c r="K227" s="6">
        <f t="shared" si="36"/>
        <v>119.99999999999997</v>
      </c>
      <c r="L227" s="7" t="str" cm="1">
        <f t="array" ref="L227">_xlfn.SWITCH(J227,
  "Bentong Toll Plaza", "Short (0-50km)",
  "Karak Toll Plaza", "Short (0-50km)",
  "Lanchang Toll Plaza", "Medium (50-100km)",
  "Temerloh Toll Plaza", "Medium (50-100km)",
  "Chenor Toll Plaza", "Long (100-200km)",
  "Maran Toll Plaza", "Long (100-200km)",
  "Gambang Toll Plaza", "Long (100-200km)",
  "CHECK"
)</f>
        <v>Long (100-200km)</v>
      </c>
      <c r="M227" s="7" t="str">
        <f t="shared" si="37"/>
        <v>Off-Peak</v>
      </c>
      <c r="N227" s="7" t="str">
        <f t="shared" si="38"/>
        <v>Weekend</v>
      </c>
      <c r="O227" s="7">
        <f t="shared" si="39"/>
        <v>9</v>
      </c>
      <c r="P227" s="7" t="str">
        <f t="shared" si="40"/>
        <v>Jan</v>
      </c>
      <c r="Q227" s="6">
        <f t="shared" si="41"/>
        <v>100.00000000000003</v>
      </c>
    </row>
    <row r="228" spans="1:17" x14ac:dyDescent="0.25">
      <c r="A228" s="13" t="s">
        <v>262</v>
      </c>
      <c r="B228" s="15">
        <v>45299</v>
      </c>
      <c r="C228" s="16">
        <v>0.2434375</v>
      </c>
      <c r="D228" s="39">
        <v>0.27468749999999997</v>
      </c>
      <c r="E228" s="13" t="s">
        <v>10</v>
      </c>
      <c r="F228" s="13" t="s">
        <v>11</v>
      </c>
      <c r="G228" s="13" t="s">
        <v>14</v>
      </c>
      <c r="H228" s="13" t="s">
        <v>13</v>
      </c>
      <c r="I228" s="13" t="s">
        <v>19</v>
      </c>
      <c r="J228" s="13" t="s">
        <v>22</v>
      </c>
      <c r="K228" s="6">
        <f t="shared" si="36"/>
        <v>44.999999999999957</v>
      </c>
      <c r="L228" s="7" t="str" cm="1">
        <f t="array" ref="L228">_xlfn.SWITCH(J228,
  "Bentong Toll Plaza", "Short (0-50km)",
  "Karak Toll Plaza", "Short (0-50km)",
  "Lanchang Toll Plaza", "Medium (50-100km)",
  "Temerloh Toll Plaza", "Medium (50-100km)",
  "Chenor Toll Plaza", "Long (100-200km)",
  "Maran Toll Plaza", "Long (100-200km)",
  "Gambang Toll Plaza", "Long (100-200km)",
  "CHECK"
)</f>
        <v>Short (0-50km)</v>
      </c>
      <c r="M228" s="7" t="str">
        <f t="shared" si="37"/>
        <v>Off-Peak</v>
      </c>
      <c r="N228" s="7" t="str">
        <f t="shared" si="38"/>
        <v>Weekday</v>
      </c>
      <c r="O228" s="7">
        <f t="shared" si="39"/>
        <v>5</v>
      </c>
      <c r="P228" s="7" t="str">
        <f t="shared" si="40"/>
        <v>Jan</v>
      </c>
      <c r="Q228" s="6">
        <f t="shared" si="41"/>
        <v>66.666666666666728</v>
      </c>
    </row>
    <row r="229" spans="1:17" x14ac:dyDescent="0.25">
      <c r="A229" s="13" t="s">
        <v>263</v>
      </c>
      <c r="B229" s="15">
        <v>45300</v>
      </c>
      <c r="C229" s="16">
        <v>0.55052083333333335</v>
      </c>
      <c r="D229" s="39">
        <v>0.63385416666666672</v>
      </c>
      <c r="E229" s="13" t="s">
        <v>15</v>
      </c>
      <c r="F229" s="13" t="s">
        <v>23</v>
      </c>
      <c r="G229" s="13" t="s">
        <v>12</v>
      </c>
      <c r="H229" s="13" t="s">
        <v>13</v>
      </c>
      <c r="I229" s="13" t="s">
        <v>19</v>
      </c>
      <c r="J229" s="13" t="s">
        <v>21</v>
      </c>
      <c r="K229" s="6">
        <f t="shared" si="36"/>
        <v>120.00000000000006</v>
      </c>
      <c r="L229" s="7" t="str" cm="1">
        <f t="array" ref="L229">_xlfn.SWITCH(J229,
  "Bentong Toll Plaza", "Short (0-50km)",
  "Karak Toll Plaza", "Short (0-50km)",
  "Lanchang Toll Plaza", "Medium (50-100km)",
  "Temerloh Toll Plaza", "Medium (50-100km)",
  "Chenor Toll Plaza", "Long (100-200km)",
  "Maran Toll Plaza", "Long (100-200km)",
  "Gambang Toll Plaza", "Long (100-200km)",
  "CHECK"
)</f>
        <v>Medium (50-100km)</v>
      </c>
      <c r="M229" s="7" t="str">
        <f t="shared" si="37"/>
        <v>Off-Peak</v>
      </c>
      <c r="N229" s="7" t="str">
        <f t="shared" si="38"/>
        <v>Weekday</v>
      </c>
      <c r="O229" s="7">
        <f t="shared" si="39"/>
        <v>13</v>
      </c>
      <c r="P229" s="7" t="str">
        <f t="shared" si="40"/>
        <v>Jan</v>
      </c>
      <c r="Q229" s="6">
        <f t="shared" si="41"/>
        <v>49.999999999999979</v>
      </c>
    </row>
    <row r="230" spans="1:17" x14ac:dyDescent="0.25">
      <c r="A230" s="13" t="s">
        <v>264</v>
      </c>
      <c r="B230" s="15">
        <v>45301</v>
      </c>
      <c r="C230" s="16">
        <v>0.26761574074074074</v>
      </c>
      <c r="D230" s="39">
        <v>0.29886574074074074</v>
      </c>
      <c r="E230" s="13" t="s">
        <v>10</v>
      </c>
      <c r="F230" s="13" t="s">
        <v>11</v>
      </c>
      <c r="G230" s="13" t="s">
        <v>16</v>
      </c>
      <c r="H230" s="13" t="s">
        <v>13</v>
      </c>
      <c r="I230" s="13" t="s">
        <v>19</v>
      </c>
      <c r="J230" s="13" t="s">
        <v>24</v>
      </c>
      <c r="K230" s="6">
        <f t="shared" si="36"/>
        <v>45</v>
      </c>
      <c r="L230" s="7" t="str" cm="1">
        <f t="array" ref="L230">_xlfn.SWITCH(J230,
  "Bentong Toll Plaza", "Short (0-50km)",
  "Karak Toll Plaza", "Short (0-50km)",
  "Lanchang Toll Plaza", "Medium (50-100km)",
  "Temerloh Toll Plaza", "Medium (50-100km)",
  "Chenor Toll Plaza", "Long (100-200km)",
  "Maran Toll Plaza", "Long (100-200km)",
  "Gambang Toll Plaza", "Long (100-200km)",
  "CHECK"
)</f>
        <v>Short (0-50km)</v>
      </c>
      <c r="M230" s="7" t="str">
        <f t="shared" si="37"/>
        <v>Off-Peak</v>
      </c>
      <c r="N230" s="7" t="str">
        <f t="shared" si="38"/>
        <v>Weekday</v>
      </c>
      <c r="O230" s="7">
        <f t="shared" si="39"/>
        <v>6</v>
      </c>
      <c r="P230" s="7" t="str">
        <f t="shared" si="40"/>
        <v>Jan</v>
      </c>
      <c r="Q230" s="6">
        <f t="shared" si="41"/>
        <v>66.666666666666671</v>
      </c>
    </row>
    <row r="231" spans="1:17" x14ac:dyDescent="0.25">
      <c r="A231" s="13" t="s">
        <v>265</v>
      </c>
      <c r="B231" s="15">
        <v>45302</v>
      </c>
      <c r="C231" s="16">
        <v>0.4445601851851852</v>
      </c>
      <c r="D231" s="39">
        <v>0.52789351851851851</v>
      </c>
      <c r="E231" s="13" t="s">
        <v>17</v>
      </c>
      <c r="F231" s="13" t="s">
        <v>18</v>
      </c>
      <c r="G231" s="13" t="s">
        <v>14</v>
      </c>
      <c r="H231" s="13" t="s">
        <v>13</v>
      </c>
      <c r="I231" s="13" t="s">
        <v>19</v>
      </c>
      <c r="J231" s="13" t="s">
        <v>20</v>
      </c>
      <c r="K231" s="6">
        <f t="shared" si="36"/>
        <v>119.99999999999997</v>
      </c>
      <c r="L231" s="7" t="str" cm="1">
        <f t="array" ref="L231">_xlfn.SWITCH(J231,
  "Bentong Toll Plaza", "Short (0-50km)",
  "Karak Toll Plaza", "Short (0-50km)",
  "Lanchang Toll Plaza", "Medium (50-100km)",
  "Temerloh Toll Plaza", "Medium (50-100km)",
  "Chenor Toll Plaza", "Long (100-200km)",
  "Maran Toll Plaza", "Long (100-200km)",
  "Gambang Toll Plaza", "Long (100-200km)",
  "CHECK"
)</f>
        <v>Long (100-200km)</v>
      </c>
      <c r="M231" s="7" t="str">
        <f t="shared" si="37"/>
        <v>Off-Peak</v>
      </c>
      <c r="N231" s="7" t="str">
        <f t="shared" si="38"/>
        <v>Weekday</v>
      </c>
      <c r="O231" s="7">
        <f t="shared" si="39"/>
        <v>10</v>
      </c>
      <c r="P231" s="7" t="str">
        <f t="shared" si="40"/>
        <v>Jan</v>
      </c>
      <c r="Q231" s="6">
        <f t="shared" si="41"/>
        <v>100.00000000000003</v>
      </c>
    </row>
    <row r="232" spans="1:17" x14ac:dyDescent="0.25">
      <c r="A232" s="13" t="s">
        <v>266</v>
      </c>
      <c r="B232" s="15">
        <v>45303</v>
      </c>
      <c r="C232" s="16">
        <v>0.33718749999999997</v>
      </c>
      <c r="D232" s="39">
        <v>0.36843749999999997</v>
      </c>
      <c r="E232" s="13" t="s">
        <v>10</v>
      </c>
      <c r="F232" s="13" t="s">
        <v>11</v>
      </c>
      <c r="G232" s="13" t="s">
        <v>14</v>
      </c>
      <c r="H232" s="13" t="s">
        <v>13</v>
      </c>
      <c r="I232" s="13" t="s">
        <v>19</v>
      </c>
      <c r="J232" s="13" t="s">
        <v>22</v>
      </c>
      <c r="K232" s="6">
        <f t="shared" si="36"/>
        <v>45</v>
      </c>
      <c r="L232" s="7" t="str" cm="1">
        <f t="array" ref="L232">_xlfn.SWITCH(J232,
  "Bentong Toll Plaza", "Short (0-50km)",
  "Karak Toll Plaza", "Short (0-50km)",
  "Lanchang Toll Plaza", "Medium (50-100km)",
  "Temerloh Toll Plaza", "Medium (50-100km)",
  "Chenor Toll Plaza", "Long (100-200km)",
  "Maran Toll Plaza", "Long (100-200km)",
  "Gambang Toll Plaza", "Long (100-200km)",
  "CHECK"
)</f>
        <v>Short (0-50km)</v>
      </c>
      <c r="M232" s="7" t="str">
        <f t="shared" si="37"/>
        <v>Peak</v>
      </c>
      <c r="N232" s="7" t="str">
        <f t="shared" si="38"/>
        <v>Weekday</v>
      </c>
      <c r="O232" s="7">
        <f t="shared" si="39"/>
        <v>8</v>
      </c>
      <c r="P232" s="7" t="str">
        <f t="shared" si="40"/>
        <v>Jan</v>
      </c>
      <c r="Q232" s="6">
        <f t="shared" si="41"/>
        <v>66.666666666666671</v>
      </c>
    </row>
    <row r="233" spans="1:17" x14ac:dyDescent="0.25">
      <c r="A233" s="13" t="s">
        <v>267</v>
      </c>
      <c r="B233" s="15">
        <v>45304</v>
      </c>
      <c r="C233" s="16">
        <v>0.646087962962963</v>
      </c>
      <c r="D233" s="39">
        <v>0.72942129629629626</v>
      </c>
      <c r="E233" s="13" t="s">
        <v>15</v>
      </c>
      <c r="F233" s="13" t="s">
        <v>23</v>
      </c>
      <c r="G233" s="13" t="s">
        <v>12</v>
      </c>
      <c r="H233" s="13" t="s">
        <v>13</v>
      </c>
      <c r="I233" s="13" t="s">
        <v>19</v>
      </c>
      <c r="J233" s="13" t="s">
        <v>21</v>
      </c>
      <c r="K233" s="6">
        <f t="shared" si="36"/>
        <v>119.99999999999989</v>
      </c>
      <c r="L233" s="7" t="str" cm="1">
        <f t="array" ref="L233">_xlfn.SWITCH(J233,
  "Bentong Toll Plaza", "Short (0-50km)",
  "Karak Toll Plaza", "Short (0-50km)",
  "Lanchang Toll Plaza", "Medium (50-100km)",
  "Temerloh Toll Plaza", "Medium (50-100km)",
  "Chenor Toll Plaza", "Long (100-200km)",
  "Maran Toll Plaza", "Long (100-200km)",
  "Gambang Toll Plaza", "Long (100-200km)",
  "CHECK"
)</f>
        <v>Medium (50-100km)</v>
      </c>
      <c r="M233" s="7" t="str">
        <f t="shared" si="37"/>
        <v>Off-Peak</v>
      </c>
      <c r="N233" s="7" t="str">
        <f t="shared" si="38"/>
        <v>Weekend</v>
      </c>
      <c r="O233" s="7">
        <f t="shared" si="39"/>
        <v>15</v>
      </c>
      <c r="P233" s="7" t="str">
        <f t="shared" si="40"/>
        <v>Jan</v>
      </c>
      <c r="Q233" s="6">
        <f t="shared" si="41"/>
        <v>50.00000000000005</v>
      </c>
    </row>
    <row r="234" spans="1:17" x14ac:dyDescent="0.25">
      <c r="A234" s="13" t="s">
        <v>268</v>
      </c>
      <c r="B234" s="15">
        <v>45305</v>
      </c>
      <c r="C234" s="16">
        <v>0.3001388888888889</v>
      </c>
      <c r="D234" s="39">
        <v>0.3313888888888889</v>
      </c>
      <c r="E234" s="13" t="s">
        <v>10</v>
      </c>
      <c r="F234" s="13" t="s">
        <v>11</v>
      </c>
      <c r="G234" s="13" t="s">
        <v>16</v>
      </c>
      <c r="H234" s="13" t="s">
        <v>13</v>
      </c>
      <c r="I234" s="13" t="s">
        <v>19</v>
      </c>
      <c r="J234" s="13" t="s">
        <v>24</v>
      </c>
      <c r="K234" s="6">
        <f t="shared" si="36"/>
        <v>45</v>
      </c>
      <c r="L234" s="7" t="str" cm="1">
        <f t="array" ref="L234">_xlfn.SWITCH(J234,
  "Bentong Toll Plaza", "Short (0-50km)",
  "Karak Toll Plaza", "Short (0-50km)",
  "Lanchang Toll Plaza", "Medium (50-100km)",
  "Temerloh Toll Plaza", "Medium (50-100km)",
  "Chenor Toll Plaza", "Long (100-200km)",
  "Maran Toll Plaza", "Long (100-200km)",
  "Gambang Toll Plaza", "Long (100-200km)",
  "CHECK"
)</f>
        <v>Short (0-50km)</v>
      </c>
      <c r="M234" s="7" t="str">
        <f t="shared" si="37"/>
        <v>Peak</v>
      </c>
      <c r="N234" s="7" t="str">
        <f t="shared" si="38"/>
        <v>Weekend</v>
      </c>
      <c r="O234" s="7">
        <f t="shared" si="39"/>
        <v>7</v>
      </c>
      <c r="P234" s="7" t="str">
        <f t="shared" si="40"/>
        <v>Jan</v>
      </c>
      <c r="Q234" s="6">
        <f t="shared" si="41"/>
        <v>66.666666666666671</v>
      </c>
    </row>
    <row r="235" spans="1:17" x14ac:dyDescent="0.25">
      <c r="A235" s="13" t="s">
        <v>269</v>
      </c>
      <c r="B235" s="15">
        <v>45306</v>
      </c>
      <c r="C235" s="16">
        <v>0.41024305555555557</v>
      </c>
      <c r="D235" s="39">
        <v>0.49357638888888888</v>
      </c>
      <c r="E235" s="13" t="s">
        <v>17</v>
      </c>
      <c r="F235" s="13" t="s">
        <v>18</v>
      </c>
      <c r="G235" s="13" t="s">
        <v>14</v>
      </c>
      <c r="H235" s="13" t="s">
        <v>13</v>
      </c>
      <c r="I235" s="13" t="s">
        <v>19</v>
      </c>
      <c r="J235" s="13" t="s">
        <v>20</v>
      </c>
      <c r="K235" s="6">
        <f t="shared" si="36"/>
        <v>119.99999999999997</v>
      </c>
      <c r="L235" s="7" t="str" cm="1">
        <f t="array" ref="L235">_xlfn.SWITCH(J235,
  "Bentong Toll Plaza", "Short (0-50km)",
  "Karak Toll Plaza", "Short (0-50km)",
  "Lanchang Toll Plaza", "Medium (50-100km)",
  "Temerloh Toll Plaza", "Medium (50-100km)",
  "Chenor Toll Plaza", "Long (100-200km)",
  "Maran Toll Plaza", "Long (100-200km)",
  "Gambang Toll Plaza", "Long (100-200km)",
  "CHECK"
)</f>
        <v>Long (100-200km)</v>
      </c>
      <c r="M235" s="7" t="str">
        <f t="shared" si="37"/>
        <v>Off-Peak</v>
      </c>
      <c r="N235" s="7" t="str">
        <f t="shared" si="38"/>
        <v>Weekday</v>
      </c>
      <c r="O235" s="7">
        <f t="shared" si="39"/>
        <v>9</v>
      </c>
      <c r="P235" s="7" t="str">
        <f t="shared" si="40"/>
        <v>Jan</v>
      </c>
      <c r="Q235" s="6">
        <f t="shared" si="41"/>
        <v>100.00000000000003</v>
      </c>
    </row>
    <row r="236" spans="1:17" x14ac:dyDescent="0.25">
      <c r="A236" s="13" t="s">
        <v>270</v>
      </c>
      <c r="B236" s="15">
        <v>45307</v>
      </c>
      <c r="C236" s="16">
        <v>0.26067129629629632</v>
      </c>
      <c r="D236" s="39">
        <v>0.29192129629629632</v>
      </c>
      <c r="E236" s="13" t="s">
        <v>10</v>
      </c>
      <c r="F236" s="13" t="s">
        <v>11</v>
      </c>
      <c r="G236" s="13" t="s">
        <v>14</v>
      </c>
      <c r="H236" s="13" t="s">
        <v>13</v>
      </c>
      <c r="I236" s="13" t="s">
        <v>19</v>
      </c>
      <c r="J236" s="13" t="s">
        <v>22</v>
      </c>
      <c r="K236" s="6">
        <f t="shared" si="36"/>
        <v>45</v>
      </c>
      <c r="L236" s="7" t="str" cm="1">
        <f t="array" ref="L236">_xlfn.SWITCH(J236,
  "Bentong Toll Plaza", "Short (0-50km)",
  "Karak Toll Plaza", "Short (0-50km)",
  "Lanchang Toll Plaza", "Medium (50-100km)",
  "Temerloh Toll Plaza", "Medium (50-100km)",
  "Chenor Toll Plaza", "Long (100-200km)",
  "Maran Toll Plaza", "Long (100-200km)",
  "Gambang Toll Plaza", "Long (100-200km)",
  "CHECK"
)</f>
        <v>Short (0-50km)</v>
      </c>
      <c r="M236" s="7" t="str">
        <f t="shared" si="37"/>
        <v>Off-Peak</v>
      </c>
      <c r="N236" s="7" t="str">
        <f t="shared" si="38"/>
        <v>Weekday</v>
      </c>
      <c r="O236" s="7">
        <f t="shared" si="39"/>
        <v>6</v>
      </c>
      <c r="P236" s="7" t="str">
        <f t="shared" si="40"/>
        <v>Jan</v>
      </c>
      <c r="Q236" s="6">
        <f t="shared" si="41"/>
        <v>66.666666666666671</v>
      </c>
    </row>
    <row r="237" spans="1:17" x14ac:dyDescent="0.25">
      <c r="A237" s="13" t="s">
        <v>271</v>
      </c>
      <c r="B237" s="15">
        <v>45308</v>
      </c>
      <c r="C237" s="16">
        <v>0.67027777777777775</v>
      </c>
      <c r="D237" s="39">
        <v>0.75361111111111112</v>
      </c>
      <c r="E237" s="13" t="s">
        <v>15</v>
      </c>
      <c r="F237" s="13" t="s">
        <v>23</v>
      </c>
      <c r="G237" s="13" t="s">
        <v>12</v>
      </c>
      <c r="H237" s="13" t="s">
        <v>13</v>
      </c>
      <c r="I237" s="13" t="s">
        <v>19</v>
      </c>
      <c r="J237" s="13" t="s">
        <v>21</v>
      </c>
      <c r="K237" s="6">
        <f t="shared" si="36"/>
        <v>120.00000000000006</v>
      </c>
      <c r="L237" s="7" t="str" cm="1">
        <f t="array" ref="L237">_xlfn.SWITCH(J237,
  "Bentong Toll Plaza", "Short (0-50km)",
  "Karak Toll Plaza", "Short (0-50km)",
  "Lanchang Toll Plaza", "Medium (50-100km)",
  "Temerloh Toll Plaza", "Medium (50-100km)",
  "Chenor Toll Plaza", "Long (100-200km)",
  "Maran Toll Plaza", "Long (100-200km)",
  "Gambang Toll Plaza", "Long (100-200km)",
  "CHECK"
)</f>
        <v>Medium (50-100km)</v>
      </c>
      <c r="M237" s="7" t="str">
        <f t="shared" si="37"/>
        <v>Off-Peak</v>
      </c>
      <c r="N237" s="7" t="str">
        <f t="shared" si="38"/>
        <v>Weekday</v>
      </c>
      <c r="O237" s="7">
        <f t="shared" si="39"/>
        <v>16</v>
      </c>
      <c r="P237" s="7" t="str">
        <f t="shared" si="40"/>
        <v>Jan</v>
      </c>
      <c r="Q237" s="6">
        <f t="shared" si="41"/>
        <v>49.999999999999979</v>
      </c>
    </row>
    <row r="238" spans="1:17" x14ac:dyDescent="0.25">
      <c r="A238" s="13" t="s">
        <v>272</v>
      </c>
      <c r="B238" s="15">
        <v>45309</v>
      </c>
      <c r="C238" s="16">
        <v>0.50385416666666671</v>
      </c>
      <c r="D238" s="39">
        <v>0.53510416666666671</v>
      </c>
      <c r="E238" s="13" t="s">
        <v>10</v>
      </c>
      <c r="F238" s="13" t="s">
        <v>11</v>
      </c>
      <c r="G238" s="13" t="s">
        <v>16</v>
      </c>
      <c r="H238" s="13" t="s">
        <v>13</v>
      </c>
      <c r="I238" s="13" t="s">
        <v>19</v>
      </c>
      <c r="J238" s="13" t="s">
        <v>24</v>
      </c>
      <c r="K238" s="6">
        <f t="shared" si="36"/>
        <v>45</v>
      </c>
      <c r="L238" s="7" t="str" cm="1">
        <f t="array" ref="L238">_xlfn.SWITCH(J238,
  "Bentong Toll Plaza", "Short (0-50km)",
  "Karak Toll Plaza", "Short (0-50km)",
  "Lanchang Toll Plaza", "Medium (50-100km)",
  "Temerloh Toll Plaza", "Medium (50-100km)",
  "Chenor Toll Plaza", "Long (100-200km)",
  "Maran Toll Plaza", "Long (100-200km)",
  "Gambang Toll Plaza", "Long (100-200km)",
  "CHECK"
)</f>
        <v>Short (0-50km)</v>
      </c>
      <c r="M238" s="7" t="str">
        <f t="shared" si="37"/>
        <v>Off-Peak</v>
      </c>
      <c r="N238" s="7" t="str">
        <f t="shared" si="38"/>
        <v>Weekday</v>
      </c>
      <c r="O238" s="7">
        <f t="shared" si="39"/>
        <v>12</v>
      </c>
      <c r="P238" s="7" t="str">
        <f t="shared" si="40"/>
        <v>Jan</v>
      </c>
      <c r="Q238" s="6">
        <f t="shared" si="41"/>
        <v>66.666666666666671</v>
      </c>
    </row>
    <row r="239" spans="1:17" x14ac:dyDescent="0.25">
      <c r="A239" s="13" t="s">
        <v>273</v>
      </c>
      <c r="B239" s="15">
        <v>45310</v>
      </c>
      <c r="C239" s="16">
        <v>0.30914351851851851</v>
      </c>
      <c r="D239" s="39">
        <v>0.39247685185185183</v>
      </c>
      <c r="E239" s="13" t="s">
        <v>17</v>
      </c>
      <c r="F239" s="13" t="s">
        <v>18</v>
      </c>
      <c r="G239" s="13" t="s">
        <v>16</v>
      </c>
      <c r="H239" s="13" t="s">
        <v>13</v>
      </c>
      <c r="I239" s="13" t="s">
        <v>19</v>
      </c>
      <c r="J239" s="13" t="s">
        <v>20</v>
      </c>
      <c r="K239" s="6">
        <f t="shared" si="36"/>
        <v>119.99999999999997</v>
      </c>
      <c r="L239" s="7" t="str" cm="1">
        <f t="array" ref="L239">_xlfn.SWITCH(J239,
  "Bentong Toll Plaza", "Short (0-50km)",
  "Karak Toll Plaza", "Short (0-50km)",
  "Lanchang Toll Plaza", "Medium (50-100km)",
  "Temerloh Toll Plaza", "Medium (50-100km)",
  "Chenor Toll Plaza", "Long (100-200km)",
  "Maran Toll Plaza", "Long (100-200km)",
  "Gambang Toll Plaza", "Long (100-200km)",
  "CHECK"
)</f>
        <v>Long (100-200km)</v>
      </c>
      <c r="M239" s="7" t="str">
        <f t="shared" si="37"/>
        <v>Peak</v>
      </c>
      <c r="N239" s="7" t="str">
        <f t="shared" si="38"/>
        <v>Weekday</v>
      </c>
      <c r="O239" s="7">
        <f t="shared" si="39"/>
        <v>7</v>
      </c>
      <c r="P239" s="7" t="str">
        <f t="shared" si="40"/>
        <v>Jan</v>
      </c>
      <c r="Q239" s="6">
        <f t="shared" si="41"/>
        <v>100.00000000000003</v>
      </c>
    </row>
    <row r="240" spans="1:17" x14ac:dyDescent="0.25">
      <c r="A240" s="13" t="s">
        <v>274</v>
      </c>
      <c r="B240" s="15">
        <v>45311</v>
      </c>
      <c r="C240" s="16">
        <v>0.24666666666666667</v>
      </c>
      <c r="D240" s="39">
        <v>0.27791666666666665</v>
      </c>
      <c r="E240" s="13" t="s">
        <v>10</v>
      </c>
      <c r="F240" s="13" t="s">
        <v>11</v>
      </c>
      <c r="G240" s="13" t="s">
        <v>14</v>
      </c>
      <c r="H240" s="13" t="s">
        <v>13</v>
      </c>
      <c r="I240" s="13" t="s">
        <v>19</v>
      </c>
      <c r="J240" s="13" t="s">
        <v>22</v>
      </c>
      <c r="K240" s="6">
        <f t="shared" si="36"/>
        <v>44.999999999999957</v>
      </c>
      <c r="L240" s="7" t="str" cm="1">
        <f t="array" ref="L240">_xlfn.SWITCH(J240,
  "Bentong Toll Plaza", "Short (0-50km)",
  "Karak Toll Plaza", "Short (0-50km)",
  "Lanchang Toll Plaza", "Medium (50-100km)",
  "Temerloh Toll Plaza", "Medium (50-100km)",
  "Chenor Toll Plaza", "Long (100-200km)",
  "Maran Toll Plaza", "Long (100-200km)",
  "Gambang Toll Plaza", "Long (100-200km)",
  "CHECK"
)</f>
        <v>Short (0-50km)</v>
      </c>
      <c r="M240" s="7" t="str">
        <f t="shared" si="37"/>
        <v>Off-Peak</v>
      </c>
      <c r="N240" s="7" t="str">
        <f t="shared" si="38"/>
        <v>Weekend</v>
      </c>
      <c r="O240" s="7">
        <f t="shared" si="39"/>
        <v>5</v>
      </c>
      <c r="P240" s="7" t="str">
        <f t="shared" si="40"/>
        <v>Jan</v>
      </c>
      <c r="Q240" s="6">
        <f t="shared" si="41"/>
        <v>66.666666666666728</v>
      </c>
    </row>
    <row r="241" spans="1:17" x14ac:dyDescent="0.25">
      <c r="A241" s="13" t="s">
        <v>275</v>
      </c>
      <c r="B241" s="15">
        <v>45312</v>
      </c>
      <c r="C241" s="16">
        <v>0.56982638888888892</v>
      </c>
      <c r="D241" s="39">
        <v>0.65315972222222218</v>
      </c>
      <c r="E241" s="13" t="s">
        <v>15</v>
      </c>
      <c r="F241" s="13" t="s">
        <v>23</v>
      </c>
      <c r="G241" s="13" t="s">
        <v>12</v>
      </c>
      <c r="H241" s="13" t="s">
        <v>13</v>
      </c>
      <c r="I241" s="13" t="s">
        <v>19</v>
      </c>
      <c r="J241" s="13" t="s">
        <v>21</v>
      </c>
      <c r="K241" s="6">
        <f t="shared" si="36"/>
        <v>119.99999999999989</v>
      </c>
      <c r="L241" s="7" t="str" cm="1">
        <f t="array" ref="L241">_xlfn.SWITCH(J241,
  "Bentong Toll Plaza", "Short (0-50km)",
  "Karak Toll Plaza", "Short (0-50km)",
  "Lanchang Toll Plaza", "Medium (50-100km)",
  "Temerloh Toll Plaza", "Medium (50-100km)",
  "Chenor Toll Plaza", "Long (100-200km)",
  "Maran Toll Plaza", "Long (100-200km)",
  "Gambang Toll Plaza", "Long (100-200km)",
  "CHECK"
)</f>
        <v>Medium (50-100km)</v>
      </c>
      <c r="M241" s="7" t="str">
        <f t="shared" si="37"/>
        <v>Off-Peak</v>
      </c>
      <c r="N241" s="7" t="str">
        <f t="shared" si="38"/>
        <v>Weekend</v>
      </c>
      <c r="O241" s="7">
        <f t="shared" si="39"/>
        <v>13</v>
      </c>
      <c r="P241" s="7" t="str">
        <f t="shared" si="40"/>
        <v>Jan</v>
      </c>
      <c r="Q241" s="6">
        <f t="shared" si="41"/>
        <v>50.00000000000005</v>
      </c>
    </row>
    <row r="242" spans="1:17" x14ac:dyDescent="0.25">
      <c r="A242" s="13" t="s">
        <v>256</v>
      </c>
      <c r="B242" s="15">
        <v>45293</v>
      </c>
      <c r="C242" s="16">
        <v>0.25858796296296294</v>
      </c>
      <c r="D242" s="13">
        <v>0.28983796296296294</v>
      </c>
      <c r="E242" s="13" t="s">
        <v>10</v>
      </c>
      <c r="F242" s="13" t="s">
        <v>11</v>
      </c>
      <c r="G242" s="13" t="s">
        <v>16</v>
      </c>
      <c r="H242" s="13" t="s">
        <v>13</v>
      </c>
      <c r="I242" s="13" t="s">
        <v>19</v>
      </c>
      <c r="J242" s="13" t="s">
        <v>24</v>
      </c>
      <c r="K242" s="6">
        <f t="shared" ref="K242:K271" si="42">IF(D242&lt;C242, ((D242+1)-C242)*1440, (D242-C242)*1440)</f>
        <v>45</v>
      </c>
      <c r="L242" s="7" t="str" cm="1">
        <f t="array" ref="L242">_xlfn.SWITCH(J242,
  "Bentong Toll Plaza", "Short (0-50km)",
  "Karak Toll Plaza", "Short (0-50km)",
  "Lanchang Toll Plaza", "Medium (50-100km)",
  "Temerloh Toll Plaza", "Medium (50-100km)",
  "Chenor Toll Plaza", "Long (100-200km)",
  "Maran Toll Plaza", "Long (100-200km)",
  "Gambang Toll Plaza", "Long (100-200km)",
  "CHECK"
)</f>
        <v>Short (0-50km)</v>
      </c>
      <c r="M242" s="7" t="str">
        <f t="shared" ref="M242:M271" si="43">IF(OR(
    AND(MOD(C242,1)&gt;=TIME(7,0,0), MOD(C242,1)&lt;=TIME(9,0,0)),
    AND(MOD(C242,1)&gt;=TIME(17,0,0), MOD(C242,1)&lt;=TIME(19,0,0))
), "Peak", "Off-Peak")</f>
        <v>Off-Peak</v>
      </c>
      <c r="N242" s="7" t="str">
        <f t="shared" ref="N242:N271" si="44">IF(WEEKDAY(B242,2)&gt;=6, "Weekend", "Weekday")</f>
        <v>Weekday</v>
      </c>
      <c r="O242" s="7">
        <f t="shared" ref="O242:O271" si="45">HOUR(C242)</f>
        <v>6</v>
      </c>
      <c r="P242" s="7" t="str">
        <f t="shared" ref="P242:P271" si="46">TEXT(B242,"mmm")</f>
        <v>Jan</v>
      </c>
      <c r="Q242" s="6">
        <f t="shared" ref="Q242:Q271" si="47">IF(L242="Short (0-50km)", (50/(K242/60)),
 IF(L242="Medium (50-100km)", (100/(K242/60)),
 IF(L242="Long (100-200km)", (200/(K242/60)),
 "Invalid")))</f>
        <v>66.666666666666671</v>
      </c>
    </row>
    <row r="243" spans="1:17" x14ac:dyDescent="0.25">
      <c r="A243" s="13" t="s">
        <v>257</v>
      </c>
      <c r="B243" s="15">
        <v>45294</v>
      </c>
      <c r="C243" s="16">
        <v>0.41010416666666666</v>
      </c>
      <c r="D243" s="13">
        <v>0.49343749999999997</v>
      </c>
      <c r="E243" s="13" t="s">
        <v>17</v>
      </c>
      <c r="F243" s="13" t="s">
        <v>18</v>
      </c>
      <c r="G243" s="13" t="s">
        <v>14</v>
      </c>
      <c r="H243" s="13" t="s">
        <v>13</v>
      </c>
      <c r="I243" s="13" t="s">
        <v>19</v>
      </c>
      <c r="J243" s="13" t="s">
        <v>20</v>
      </c>
      <c r="K243" s="6">
        <f t="shared" si="42"/>
        <v>119.99999999999997</v>
      </c>
      <c r="L243" s="7" t="str" cm="1">
        <f t="array" ref="L243">_xlfn.SWITCH(J243,
  "Bentong Toll Plaza", "Short (0-50km)",
  "Karak Toll Plaza", "Short (0-50km)",
  "Lanchang Toll Plaza", "Medium (50-100km)",
  "Temerloh Toll Plaza", "Medium (50-100km)",
  "Chenor Toll Plaza", "Long (100-200km)",
  "Maran Toll Plaza", "Long (100-200km)",
  "Gambang Toll Plaza", "Long (100-200km)",
  "CHECK"
)</f>
        <v>Long (100-200km)</v>
      </c>
      <c r="M243" s="7" t="str">
        <f t="shared" si="43"/>
        <v>Off-Peak</v>
      </c>
      <c r="N243" s="7" t="str">
        <f t="shared" si="44"/>
        <v>Weekday</v>
      </c>
      <c r="O243" s="7">
        <f t="shared" si="45"/>
        <v>9</v>
      </c>
      <c r="P243" s="7" t="str">
        <f t="shared" si="46"/>
        <v>Jan</v>
      </c>
      <c r="Q243" s="6">
        <f t="shared" si="47"/>
        <v>100.00000000000003</v>
      </c>
    </row>
    <row r="244" spans="1:17" x14ac:dyDescent="0.25">
      <c r="A244" s="13" t="s">
        <v>258</v>
      </c>
      <c r="B244" s="15">
        <v>45295</v>
      </c>
      <c r="C244" s="16">
        <v>0.71194444444444449</v>
      </c>
      <c r="D244" s="13">
        <v>0.79527777777777775</v>
      </c>
      <c r="E244" s="13" t="s">
        <v>15</v>
      </c>
      <c r="F244" s="13" t="s">
        <v>23</v>
      </c>
      <c r="G244" s="13" t="s">
        <v>12</v>
      </c>
      <c r="H244" s="13" t="s">
        <v>13</v>
      </c>
      <c r="I244" s="13" t="s">
        <v>19</v>
      </c>
      <c r="J244" s="13" t="s">
        <v>21</v>
      </c>
      <c r="K244" s="6">
        <f t="shared" si="42"/>
        <v>119.99999999999989</v>
      </c>
      <c r="L244" s="7" t="str" cm="1">
        <f t="array" ref="L244">_xlfn.SWITCH(J244,
  "Bentong Toll Plaza", "Short (0-50km)",
  "Karak Toll Plaza", "Short (0-50km)",
  "Lanchang Toll Plaza", "Medium (50-100km)",
  "Temerloh Toll Plaza", "Medium (50-100km)",
  "Chenor Toll Plaza", "Long (100-200km)",
  "Maran Toll Plaza", "Long (100-200km)",
  "Gambang Toll Plaza", "Long (100-200km)",
  "CHECK"
)</f>
        <v>Medium (50-100km)</v>
      </c>
      <c r="M244" s="7" t="str">
        <f t="shared" si="43"/>
        <v>Peak</v>
      </c>
      <c r="N244" s="7" t="str">
        <f t="shared" si="44"/>
        <v>Weekday</v>
      </c>
      <c r="O244" s="7">
        <f t="shared" si="45"/>
        <v>17</v>
      </c>
      <c r="P244" s="7" t="str">
        <f t="shared" si="46"/>
        <v>Jan</v>
      </c>
      <c r="Q244" s="6">
        <f t="shared" si="47"/>
        <v>50.00000000000005</v>
      </c>
    </row>
    <row r="245" spans="1:17" x14ac:dyDescent="0.25">
      <c r="A245" s="13" t="s">
        <v>259</v>
      </c>
      <c r="B245" s="15">
        <v>45296</v>
      </c>
      <c r="C245" s="16">
        <v>0.53483796296296293</v>
      </c>
      <c r="D245" s="13">
        <v>0.56608796296296293</v>
      </c>
      <c r="E245" s="13" t="s">
        <v>10</v>
      </c>
      <c r="F245" s="13" t="s">
        <v>11</v>
      </c>
      <c r="G245" s="13" t="s">
        <v>16</v>
      </c>
      <c r="H245" s="13" t="s">
        <v>13</v>
      </c>
      <c r="I245" s="13" t="s">
        <v>19</v>
      </c>
      <c r="J245" s="13" t="s">
        <v>22</v>
      </c>
      <c r="K245" s="6">
        <f t="shared" si="42"/>
        <v>45</v>
      </c>
      <c r="L245" s="7" t="str" cm="1">
        <f t="array" ref="L245">_xlfn.SWITCH(J245,
  "Bentong Toll Plaza", "Short (0-50km)",
  "Karak Toll Plaza", "Short (0-50km)",
  "Lanchang Toll Plaza", "Medium (50-100km)",
  "Temerloh Toll Plaza", "Medium (50-100km)",
  "Chenor Toll Plaza", "Long (100-200km)",
  "Maran Toll Plaza", "Long (100-200km)",
  "Gambang Toll Plaza", "Long (100-200km)",
  "CHECK"
)</f>
        <v>Short (0-50km)</v>
      </c>
      <c r="M245" s="7" t="str">
        <f t="shared" si="43"/>
        <v>Off-Peak</v>
      </c>
      <c r="N245" s="7" t="str">
        <f t="shared" si="44"/>
        <v>Weekday</v>
      </c>
      <c r="O245" s="7">
        <f t="shared" si="45"/>
        <v>12</v>
      </c>
      <c r="P245" s="7" t="str">
        <f t="shared" si="46"/>
        <v>Jan</v>
      </c>
      <c r="Q245" s="6">
        <f t="shared" si="47"/>
        <v>66.666666666666671</v>
      </c>
    </row>
    <row r="246" spans="1:17" x14ac:dyDescent="0.25">
      <c r="A246" s="13" t="s">
        <v>260</v>
      </c>
      <c r="B246" s="15">
        <v>45297</v>
      </c>
      <c r="C246" s="16">
        <v>0.30246527777777776</v>
      </c>
      <c r="D246" s="13">
        <v>0.33371527777777776</v>
      </c>
      <c r="E246" s="13" t="s">
        <v>10</v>
      </c>
      <c r="F246" s="13" t="s">
        <v>11</v>
      </c>
      <c r="G246" s="13" t="s">
        <v>14</v>
      </c>
      <c r="H246" s="13" t="s">
        <v>13</v>
      </c>
      <c r="I246" s="13" t="s">
        <v>19</v>
      </c>
      <c r="J246" s="13" t="s">
        <v>24</v>
      </c>
      <c r="K246" s="6">
        <f t="shared" si="42"/>
        <v>45</v>
      </c>
      <c r="L246" s="7" t="str" cm="1">
        <f t="array" ref="L246">_xlfn.SWITCH(J246,
  "Bentong Toll Plaza", "Short (0-50km)",
  "Karak Toll Plaza", "Short (0-50km)",
  "Lanchang Toll Plaza", "Medium (50-100km)",
  "Temerloh Toll Plaza", "Medium (50-100km)",
  "Chenor Toll Plaza", "Long (100-200km)",
  "Maran Toll Plaza", "Long (100-200km)",
  "Gambang Toll Plaza", "Long (100-200km)",
  "CHECK"
)</f>
        <v>Short (0-50km)</v>
      </c>
      <c r="M246" s="7" t="str">
        <f t="shared" si="43"/>
        <v>Peak</v>
      </c>
      <c r="N246" s="7" t="str">
        <f t="shared" si="44"/>
        <v>Weekend</v>
      </c>
      <c r="O246" s="7">
        <f t="shared" si="45"/>
        <v>7</v>
      </c>
      <c r="P246" s="7" t="str">
        <f t="shared" si="46"/>
        <v>Jan</v>
      </c>
      <c r="Q246" s="6">
        <f t="shared" si="47"/>
        <v>66.666666666666671</v>
      </c>
    </row>
    <row r="247" spans="1:17" x14ac:dyDescent="0.25">
      <c r="A247" s="13" t="s">
        <v>261</v>
      </c>
      <c r="B247" s="15">
        <v>45298</v>
      </c>
      <c r="C247" s="16">
        <v>0.37861111111111112</v>
      </c>
      <c r="D247" s="13">
        <v>0.46194444444444444</v>
      </c>
      <c r="E247" s="13" t="s">
        <v>17</v>
      </c>
      <c r="F247" s="13" t="s">
        <v>18</v>
      </c>
      <c r="G247" s="13" t="s">
        <v>16</v>
      </c>
      <c r="H247" s="13" t="s">
        <v>13</v>
      </c>
      <c r="I247" s="13" t="s">
        <v>19</v>
      </c>
      <c r="J247" s="13" t="s">
        <v>20</v>
      </c>
      <c r="K247" s="6">
        <f t="shared" si="42"/>
        <v>119.99999999999997</v>
      </c>
      <c r="L247" s="7" t="str" cm="1">
        <f t="array" ref="L247">_xlfn.SWITCH(J247,
  "Bentong Toll Plaza", "Short (0-50km)",
  "Karak Toll Plaza", "Short (0-50km)",
  "Lanchang Toll Plaza", "Medium (50-100km)",
  "Temerloh Toll Plaza", "Medium (50-100km)",
  "Chenor Toll Plaza", "Long (100-200km)",
  "Maran Toll Plaza", "Long (100-200km)",
  "Gambang Toll Plaza", "Long (100-200km)",
  "CHECK"
)</f>
        <v>Long (100-200km)</v>
      </c>
      <c r="M247" s="7" t="str">
        <f t="shared" si="43"/>
        <v>Off-Peak</v>
      </c>
      <c r="N247" s="7" t="str">
        <f t="shared" si="44"/>
        <v>Weekend</v>
      </c>
      <c r="O247" s="7">
        <f t="shared" si="45"/>
        <v>9</v>
      </c>
      <c r="P247" s="7" t="str">
        <f t="shared" si="46"/>
        <v>Jan</v>
      </c>
      <c r="Q247" s="6">
        <f t="shared" si="47"/>
        <v>100.00000000000003</v>
      </c>
    </row>
    <row r="248" spans="1:17" x14ac:dyDescent="0.25">
      <c r="A248" s="13" t="s">
        <v>262</v>
      </c>
      <c r="B248" s="15">
        <v>45299</v>
      </c>
      <c r="C248" s="16">
        <v>0.2434375</v>
      </c>
      <c r="D248" s="13">
        <v>0.27468749999999997</v>
      </c>
      <c r="E248" s="13" t="s">
        <v>10</v>
      </c>
      <c r="F248" s="13" t="s">
        <v>11</v>
      </c>
      <c r="G248" s="13" t="s">
        <v>14</v>
      </c>
      <c r="H248" s="13" t="s">
        <v>13</v>
      </c>
      <c r="I248" s="13" t="s">
        <v>19</v>
      </c>
      <c r="J248" s="13" t="s">
        <v>22</v>
      </c>
      <c r="K248" s="6">
        <f t="shared" si="42"/>
        <v>44.999999999999957</v>
      </c>
      <c r="L248" s="7" t="str" cm="1">
        <f t="array" ref="L248">_xlfn.SWITCH(J248,
  "Bentong Toll Plaza", "Short (0-50km)",
  "Karak Toll Plaza", "Short (0-50km)",
  "Lanchang Toll Plaza", "Medium (50-100km)",
  "Temerloh Toll Plaza", "Medium (50-100km)",
  "Chenor Toll Plaza", "Long (100-200km)",
  "Maran Toll Plaza", "Long (100-200km)",
  "Gambang Toll Plaza", "Long (100-200km)",
  "CHECK"
)</f>
        <v>Short (0-50km)</v>
      </c>
      <c r="M248" s="7" t="str">
        <f t="shared" si="43"/>
        <v>Off-Peak</v>
      </c>
      <c r="N248" s="7" t="str">
        <f t="shared" si="44"/>
        <v>Weekday</v>
      </c>
      <c r="O248" s="7">
        <f t="shared" si="45"/>
        <v>5</v>
      </c>
      <c r="P248" s="7" t="str">
        <f t="shared" si="46"/>
        <v>Jan</v>
      </c>
      <c r="Q248" s="6">
        <f t="shared" si="47"/>
        <v>66.666666666666728</v>
      </c>
    </row>
    <row r="249" spans="1:17" x14ac:dyDescent="0.25">
      <c r="A249" s="13" t="s">
        <v>263</v>
      </c>
      <c r="B249" s="15">
        <v>45300</v>
      </c>
      <c r="C249" s="16">
        <v>0.55052083333333335</v>
      </c>
      <c r="D249" s="13">
        <v>0.63385416666666672</v>
      </c>
      <c r="E249" s="13" t="s">
        <v>15</v>
      </c>
      <c r="F249" s="13" t="s">
        <v>23</v>
      </c>
      <c r="G249" s="13" t="s">
        <v>12</v>
      </c>
      <c r="H249" s="13" t="s">
        <v>13</v>
      </c>
      <c r="I249" s="13" t="s">
        <v>19</v>
      </c>
      <c r="J249" s="13" t="s">
        <v>21</v>
      </c>
      <c r="K249" s="6">
        <f t="shared" si="42"/>
        <v>120.00000000000006</v>
      </c>
      <c r="L249" s="7" t="str" cm="1">
        <f t="array" ref="L249">_xlfn.SWITCH(J249,
  "Bentong Toll Plaza", "Short (0-50km)",
  "Karak Toll Plaza", "Short (0-50km)",
  "Lanchang Toll Plaza", "Medium (50-100km)",
  "Temerloh Toll Plaza", "Medium (50-100km)",
  "Chenor Toll Plaza", "Long (100-200km)",
  "Maran Toll Plaza", "Long (100-200km)",
  "Gambang Toll Plaza", "Long (100-200km)",
  "CHECK"
)</f>
        <v>Medium (50-100km)</v>
      </c>
      <c r="M249" s="7" t="str">
        <f t="shared" si="43"/>
        <v>Off-Peak</v>
      </c>
      <c r="N249" s="7" t="str">
        <f t="shared" si="44"/>
        <v>Weekday</v>
      </c>
      <c r="O249" s="7">
        <f t="shared" si="45"/>
        <v>13</v>
      </c>
      <c r="P249" s="7" t="str">
        <f t="shared" si="46"/>
        <v>Jan</v>
      </c>
      <c r="Q249" s="6">
        <f t="shared" si="47"/>
        <v>49.999999999999979</v>
      </c>
    </row>
    <row r="250" spans="1:17" x14ac:dyDescent="0.25">
      <c r="A250" s="13" t="s">
        <v>264</v>
      </c>
      <c r="B250" s="15">
        <v>45301</v>
      </c>
      <c r="C250" s="16">
        <v>0.26761574074074074</v>
      </c>
      <c r="D250" s="13">
        <v>0.29886574074074074</v>
      </c>
      <c r="E250" s="13" t="s">
        <v>10</v>
      </c>
      <c r="F250" s="13" t="s">
        <v>11</v>
      </c>
      <c r="G250" s="13" t="s">
        <v>16</v>
      </c>
      <c r="H250" s="13" t="s">
        <v>13</v>
      </c>
      <c r="I250" s="13" t="s">
        <v>19</v>
      </c>
      <c r="J250" s="13" t="s">
        <v>24</v>
      </c>
      <c r="K250" s="6">
        <f t="shared" si="42"/>
        <v>45</v>
      </c>
      <c r="L250" s="7" t="str" cm="1">
        <f t="array" ref="L250">_xlfn.SWITCH(J250,
  "Bentong Toll Plaza", "Short (0-50km)",
  "Karak Toll Plaza", "Short (0-50km)",
  "Lanchang Toll Plaza", "Medium (50-100km)",
  "Temerloh Toll Plaza", "Medium (50-100km)",
  "Chenor Toll Plaza", "Long (100-200km)",
  "Maran Toll Plaza", "Long (100-200km)",
  "Gambang Toll Plaza", "Long (100-200km)",
  "CHECK"
)</f>
        <v>Short (0-50km)</v>
      </c>
      <c r="M250" s="7" t="str">
        <f t="shared" si="43"/>
        <v>Off-Peak</v>
      </c>
      <c r="N250" s="7" t="str">
        <f t="shared" si="44"/>
        <v>Weekday</v>
      </c>
      <c r="O250" s="7">
        <f t="shared" si="45"/>
        <v>6</v>
      </c>
      <c r="P250" s="7" t="str">
        <f t="shared" si="46"/>
        <v>Jan</v>
      </c>
      <c r="Q250" s="6">
        <f t="shared" si="47"/>
        <v>66.666666666666671</v>
      </c>
    </row>
    <row r="251" spans="1:17" x14ac:dyDescent="0.25">
      <c r="A251" s="13" t="s">
        <v>265</v>
      </c>
      <c r="B251" s="15">
        <v>45302</v>
      </c>
      <c r="C251" s="16">
        <v>0.4445601851851852</v>
      </c>
      <c r="D251" s="13">
        <v>0.52789351851851851</v>
      </c>
      <c r="E251" s="13" t="s">
        <v>17</v>
      </c>
      <c r="F251" s="13" t="s">
        <v>18</v>
      </c>
      <c r="G251" s="13" t="s">
        <v>14</v>
      </c>
      <c r="H251" s="13" t="s">
        <v>13</v>
      </c>
      <c r="I251" s="13" t="s">
        <v>19</v>
      </c>
      <c r="J251" s="13" t="s">
        <v>20</v>
      </c>
      <c r="K251" s="6">
        <f t="shared" si="42"/>
        <v>119.99999999999997</v>
      </c>
      <c r="L251" s="7" t="str" cm="1">
        <f t="array" ref="L251">_xlfn.SWITCH(J251,
  "Bentong Toll Plaza", "Short (0-50km)",
  "Karak Toll Plaza", "Short (0-50km)",
  "Lanchang Toll Plaza", "Medium (50-100km)",
  "Temerloh Toll Plaza", "Medium (50-100km)",
  "Chenor Toll Plaza", "Long (100-200km)",
  "Maran Toll Plaza", "Long (100-200km)",
  "Gambang Toll Plaza", "Long (100-200km)",
  "CHECK"
)</f>
        <v>Long (100-200km)</v>
      </c>
      <c r="M251" s="7" t="str">
        <f t="shared" si="43"/>
        <v>Off-Peak</v>
      </c>
      <c r="N251" s="7" t="str">
        <f t="shared" si="44"/>
        <v>Weekday</v>
      </c>
      <c r="O251" s="7">
        <f t="shared" si="45"/>
        <v>10</v>
      </c>
      <c r="P251" s="7" t="str">
        <f t="shared" si="46"/>
        <v>Jan</v>
      </c>
      <c r="Q251" s="6">
        <f t="shared" si="47"/>
        <v>100.00000000000003</v>
      </c>
    </row>
    <row r="252" spans="1:17" x14ac:dyDescent="0.25">
      <c r="A252" s="13" t="s">
        <v>266</v>
      </c>
      <c r="B252" s="15">
        <v>45303</v>
      </c>
      <c r="C252" s="16">
        <v>0.33718749999999997</v>
      </c>
      <c r="D252" s="13">
        <v>0.36843749999999997</v>
      </c>
      <c r="E252" s="13" t="s">
        <v>10</v>
      </c>
      <c r="F252" s="13" t="s">
        <v>11</v>
      </c>
      <c r="G252" s="13" t="s">
        <v>14</v>
      </c>
      <c r="H252" s="13" t="s">
        <v>13</v>
      </c>
      <c r="I252" s="13" t="s">
        <v>19</v>
      </c>
      <c r="J252" s="13" t="s">
        <v>22</v>
      </c>
      <c r="K252" s="6">
        <f t="shared" si="42"/>
        <v>45</v>
      </c>
      <c r="L252" s="7" t="str" cm="1">
        <f t="array" ref="L252">_xlfn.SWITCH(J252,
  "Bentong Toll Plaza", "Short (0-50km)",
  "Karak Toll Plaza", "Short (0-50km)",
  "Lanchang Toll Plaza", "Medium (50-100km)",
  "Temerloh Toll Plaza", "Medium (50-100km)",
  "Chenor Toll Plaza", "Long (100-200km)",
  "Maran Toll Plaza", "Long (100-200km)",
  "Gambang Toll Plaza", "Long (100-200km)",
  "CHECK"
)</f>
        <v>Short (0-50km)</v>
      </c>
      <c r="M252" s="7" t="str">
        <f t="shared" si="43"/>
        <v>Peak</v>
      </c>
      <c r="N252" s="7" t="str">
        <f t="shared" si="44"/>
        <v>Weekday</v>
      </c>
      <c r="O252" s="7">
        <f t="shared" si="45"/>
        <v>8</v>
      </c>
      <c r="P252" s="7" t="str">
        <f t="shared" si="46"/>
        <v>Jan</v>
      </c>
      <c r="Q252" s="6">
        <f t="shared" si="47"/>
        <v>66.666666666666671</v>
      </c>
    </row>
    <row r="253" spans="1:17" x14ac:dyDescent="0.25">
      <c r="A253" s="13" t="s">
        <v>267</v>
      </c>
      <c r="B253" s="15">
        <v>45304</v>
      </c>
      <c r="C253" s="16">
        <v>0.646087962962963</v>
      </c>
      <c r="D253" s="13">
        <v>0.72942129629629626</v>
      </c>
      <c r="E253" s="13" t="s">
        <v>15</v>
      </c>
      <c r="F253" s="13" t="s">
        <v>23</v>
      </c>
      <c r="G253" s="13" t="s">
        <v>12</v>
      </c>
      <c r="H253" s="13" t="s">
        <v>13</v>
      </c>
      <c r="I253" s="13" t="s">
        <v>19</v>
      </c>
      <c r="J253" s="13" t="s">
        <v>21</v>
      </c>
      <c r="K253" s="6">
        <f t="shared" si="42"/>
        <v>119.99999999999989</v>
      </c>
      <c r="L253" s="7" t="str" cm="1">
        <f t="array" ref="L253">_xlfn.SWITCH(J253,
  "Bentong Toll Plaza", "Short (0-50km)",
  "Karak Toll Plaza", "Short (0-50km)",
  "Lanchang Toll Plaza", "Medium (50-100km)",
  "Temerloh Toll Plaza", "Medium (50-100km)",
  "Chenor Toll Plaza", "Long (100-200km)",
  "Maran Toll Plaza", "Long (100-200km)",
  "Gambang Toll Plaza", "Long (100-200km)",
  "CHECK"
)</f>
        <v>Medium (50-100km)</v>
      </c>
      <c r="M253" s="7" t="str">
        <f t="shared" si="43"/>
        <v>Off-Peak</v>
      </c>
      <c r="N253" s="7" t="str">
        <f t="shared" si="44"/>
        <v>Weekend</v>
      </c>
      <c r="O253" s="7">
        <f t="shared" si="45"/>
        <v>15</v>
      </c>
      <c r="P253" s="7" t="str">
        <f t="shared" si="46"/>
        <v>Jan</v>
      </c>
      <c r="Q253" s="6">
        <f t="shared" si="47"/>
        <v>50.00000000000005</v>
      </c>
    </row>
    <row r="254" spans="1:17" x14ac:dyDescent="0.25">
      <c r="A254" s="13" t="s">
        <v>268</v>
      </c>
      <c r="B254" s="15">
        <v>45305</v>
      </c>
      <c r="C254" s="16">
        <v>0.3001388888888889</v>
      </c>
      <c r="D254" s="13">
        <v>0.3313888888888889</v>
      </c>
      <c r="E254" s="13" t="s">
        <v>10</v>
      </c>
      <c r="F254" s="13" t="s">
        <v>11</v>
      </c>
      <c r="G254" s="13" t="s">
        <v>16</v>
      </c>
      <c r="H254" s="13" t="s">
        <v>13</v>
      </c>
      <c r="I254" s="13" t="s">
        <v>19</v>
      </c>
      <c r="J254" s="13" t="s">
        <v>24</v>
      </c>
      <c r="K254" s="6">
        <f t="shared" si="42"/>
        <v>45</v>
      </c>
      <c r="L254" s="7" t="str" cm="1">
        <f t="array" ref="L254">_xlfn.SWITCH(J254,
  "Bentong Toll Plaza", "Short (0-50km)",
  "Karak Toll Plaza", "Short (0-50km)",
  "Lanchang Toll Plaza", "Medium (50-100km)",
  "Temerloh Toll Plaza", "Medium (50-100km)",
  "Chenor Toll Plaza", "Long (100-200km)",
  "Maran Toll Plaza", "Long (100-200km)",
  "Gambang Toll Plaza", "Long (100-200km)",
  "CHECK"
)</f>
        <v>Short (0-50km)</v>
      </c>
      <c r="M254" s="7" t="str">
        <f t="shared" si="43"/>
        <v>Peak</v>
      </c>
      <c r="N254" s="7" t="str">
        <f t="shared" si="44"/>
        <v>Weekend</v>
      </c>
      <c r="O254" s="7">
        <f t="shared" si="45"/>
        <v>7</v>
      </c>
      <c r="P254" s="7" t="str">
        <f t="shared" si="46"/>
        <v>Jan</v>
      </c>
      <c r="Q254" s="6">
        <f t="shared" si="47"/>
        <v>66.666666666666671</v>
      </c>
    </row>
    <row r="255" spans="1:17" x14ac:dyDescent="0.25">
      <c r="A255" s="13" t="s">
        <v>269</v>
      </c>
      <c r="B255" s="15">
        <v>45306</v>
      </c>
      <c r="C255" s="16">
        <v>0.41024305555555557</v>
      </c>
      <c r="D255" s="13">
        <v>0.49357638888888888</v>
      </c>
      <c r="E255" s="13" t="s">
        <v>17</v>
      </c>
      <c r="F255" s="13" t="s">
        <v>18</v>
      </c>
      <c r="G255" s="13" t="s">
        <v>14</v>
      </c>
      <c r="H255" s="13" t="s">
        <v>13</v>
      </c>
      <c r="I255" s="13" t="s">
        <v>19</v>
      </c>
      <c r="J255" s="13" t="s">
        <v>20</v>
      </c>
      <c r="K255" s="6">
        <f t="shared" si="42"/>
        <v>119.99999999999997</v>
      </c>
      <c r="L255" s="7" t="str" cm="1">
        <f t="array" ref="L255">_xlfn.SWITCH(J255,
  "Bentong Toll Plaza", "Short (0-50km)",
  "Karak Toll Plaza", "Short (0-50km)",
  "Lanchang Toll Plaza", "Medium (50-100km)",
  "Temerloh Toll Plaza", "Medium (50-100km)",
  "Chenor Toll Plaza", "Long (100-200km)",
  "Maran Toll Plaza", "Long (100-200km)",
  "Gambang Toll Plaza", "Long (100-200km)",
  "CHECK"
)</f>
        <v>Long (100-200km)</v>
      </c>
      <c r="M255" s="7" t="str">
        <f t="shared" si="43"/>
        <v>Off-Peak</v>
      </c>
      <c r="N255" s="7" t="str">
        <f t="shared" si="44"/>
        <v>Weekday</v>
      </c>
      <c r="O255" s="7">
        <f t="shared" si="45"/>
        <v>9</v>
      </c>
      <c r="P255" s="7" t="str">
        <f t="shared" si="46"/>
        <v>Jan</v>
      </c>
      <c r="Q255" s="6">
        <f t="shared" si="47"/>
        <v>100.00000000000003</v>
      </c>
    </row>
    <row r="256" spans="1:17" x14ac:dyDescent="0.25">
      <c r="A256" s="13" t="s">
        <v>270</v>
      </c>
      <c r="B256" s="15">
        <v>45307</v>
      </c>
      <c r="C256" s="16">
        <v>0.26067129629629632</v>
      </c>
      <c r="D256" s="13">
        <v>0.29192129629629632</v>
      </c>
      <c r="E256" s="13" t="s">
        <v>10</v>
      </c>
      <c r="F256" s="13" t="s">
        <v>11</v>
      </c>
      <c r="G256" s="13" t="s">
        <v>14</v>
      </c>
      <c r="H256" s="13" t="s">
        <v>13</v>
      </c>
      <c r="I256" s="13" t="s">
        <v>19</v>
      </c>
      <c r="J256" s="13" t="s">
        <v>22</v>
      </c>
      <c r="K256" s="6">
        <f t="shared" si="42"/>
        <v>45</v>
      </c>
      <c r="L256" s="7" t="str" cm="1">
        <f t="array" ref="L256">_xlfn.SWITCH(J256,
  "Bentong Toll Plaza", "Short (0-50km)",
  "Karak Toll Plaza", "Short (0-50km)",
  "Lanchang Toll Plaza", "Medium (50-100km)",
  "Temerloh Toll Plaza", "Medium (50-100km)",
  "Chenor Toll Plaza", "Long (100-200km)",
  "Maran Toll Plaza", "Long (100-200km)",
  "Gambang Toll Plaza", "Long (100-200km)",
  "CHECK"
)</f>
        <v>Short (0-50km)</v>
      </c>
      <c r="M256" s="7" t="str">
        <f t="shared" si="43"/>
        <v>Off-Peak</v>
      </c>
      <c r="N256" s="7" t="str">
        <f t="shared" si="44"/>
        <v>Weekday</v>
      </c>
      <c r="O256" s="7">
        <f t="shared" si="45"/>
        <v>6</v>
      </c>
      <c r="P256" s="7" t="str">
        <f t="shared" si="46"/>
        <v>Jan</v>
      </c>
      <c r="Q256" s="6">
        <f t="shared" si="47"/>
        <v>66.666666666666671</v>
      </c>
    </row>
    <row r="257" spans="1:17" x14ac:dyDescent="0.25">
      <c r="A257" s="13" t="s">
        <v>271</v>
      </c>
      <c r="B257" s="15">
        <v>45308</v>
      </c>
      <c r="C257" s="16">
        <v>0.67027777777777775</v>
      </c>
      <c r="D257" s="13">
        <v>0.75361111111111112</v>
      </c>
      <c r="E257" s="13" t="s">
        <v>15</v>
      </c>
      <c r="F257" s="13" t="s">
        <v>23</v>
      </c>
      <c r="G257" s="13" t="s">
        <v>12</v>
      </c>
      <c r="H257" s="13" t="s">
        <v>13</v>
      </c>
      <c r="I257" s="13" t="s">
        <v>19</v>
      </c>
      <c r="J257" s="13" t="s">
        <v>21</v>
      </c>
      <c r="K257" s="6">
        <f t="shared" si="42"/>
        <v>120.00000000000006</v>
      </c>
      <c r="L257" s="7" t="str" cm="1">
        <f t="array" ref="L257">_xlfn.SWITCH(J257,
  "Bentong Toll Plaza", "Short (0-50km)",
  "Karak Toll Plaza", "Short (0-50km)",
  "Lanchang Toll Plaza", "Medium (50-100km)",
  "Temerloh Toll Plaza", "Medium (50-100km)",
  "Chenor Toll Plaza", "Long (100-200km)",
  "Maran Toll Plaza", "Long (100-200km)",
  "Gambang Toll Plaza", "Long (100-200km)",
  "CHECK"
)</f>
        <v>Medium (50-100km)</v>
      </c>
      <c r="M257" s="7" t="str">
        <f t="shared" si="43"/>
        <v>Off-Peak</v>
      </c>
      <c r="N257" s="7" t="str">
        <f t="shared" si="44"/>
        <v>Weekday</v>
      </c>
      <c r="O257" s="7">
        <f t="shared" si="45"/>
        <v>16</v>
      </c>
      <c r="P257" s="7" t="str">
        <f t="shared" si="46"/>
        <v>Jan</v>
      </c>
      <c r="Q257" s="6">
        <f t="shared" si="47"/>
        <v>49.999999999999979</v>
      </c>
    </row>
    <row r="258" spans="1:17" x14ac:dyDescent="0.25">
      <c r="A258" s="13" t="s">
        <v>272</v>
      </c>
      <c r="B258" s="15">
        <v>45309</v>
      </c>
      <c r="C258" s="16">
        <v>0.50385416666666671</v>
      </c>
      <c r="D258" s="13">
        <v>0.53510416666666671</v>
      </c>
      <c r="E258" s="13" t="s">
        <v>10</v>
      </c>
      <c r="F258" s="13" t="s">
        <v>11</v>
      </c>
      <c r="G258" s="13" t="s">
        <v>16</v>
      </c>
      <c r="H258" s="13" t="s">
        <v>13</v>
      </c>
      <c r="I258" s="13" t="s">
        <v>19</v>
      </c>
      <c r="J258" s="13" t="s">
        <v>24</v>
      </c>
      <c r="K258" s="6">
        <f t="shared" si="42"/>
        <v>45</v>
      </c>
      <c r="L258" s="7" t="str" cm="1">
        <f t="array" ref="L258">_xlfn.SWITCH(J258,
  "Bentong Toll Plaza", "Short (0-50km)",
  "Karak Toll Plaza", "Short (0-50km)",
  "Lanchang Toll Plaza", "Medium (50-100km)",
  "Temerloh Toll Plaza", "Medium (50-100km)",
  "Chenor Toll Plaza", "Long (100-200km)",
  "Maran Toll Plaza", "Long (100-200km)",
  "Gambang Toll Plaza", "Long (100-200km)",
  "CHECK"
)</f>
        <v>Short (0-50km)</v>
      </c>
      <c r="M258" s="7" t="str">
        <f t="shared" si="43"/>
        <v>Off-Peak</v>
      </c>
      <c r="N258" s="7" t="str">
        <f t="shared" si="44"/>
        <v>Weekday</v>
      </c>
      <c r="O258" s="7">
        <f t="shared" si="45"/>
        <v>12</v>
      </c>
      <c r="P258" s="7" t="str">
        <f t="shared" si="46"/>
        <v>Jan</v>
      </c>
      <c r="Q258" s="6">
        <f t="shared" si="47"/>
        <v>66.666666666666671</v>
      </c>
    </row>
    <row r="259" spans="1:17" x14ac:dyDescent="0.25">
      <c r="A259" s="13" t="s">
        <v>273</v>
      </c>
      <c r="B259" s="15">
        <v>45310</v>
      </c>
      <c r="C259" s="16">
        <v>0.30914351851851851</v>
      </c>
      <c r="D259" s="13">
        <v>0.39247685185185183</v>
      </c>
      <c r="E259" s="13" t="s">
        <v>17</v>
      </c>
      <c r="F259" s="13" t="s">
        <v>18</v>
      </c>
      <c r="G259" s="13" t="s">
        <v>16</v>
      </c>
      <c r="H259" s="13" t="s">
        <v>13</v>
      </c>
      <c r="I259" s="13" t="s">
        <v>19</v>
      </c>
      <c r="J259" s="13" t="s">
        <v>20</v>
      </c>
      <c r="K259" s="6">
        <f t="shared" si="42"/>
        <v>119.99999999999997</v>
      </c>
      <c r="L259" s="7" t="str" cm="1">
        <f t="array" ref="L259">_xlfn.SWITCH(J259,
  "Bentong Toll Plaza", "Short (0-50km)",
  "Karak Toll Plaza", "Short (0-50km)",
  "Lanchang Toll Plaza", "Medium (50-100km)",
  "Temerloh Toll Plaza", "Medium (50-100km)",
  "Chenor Toll Plaza", "Long (100-200km)",
  "Maran Toll Plaza", "Long (100-200km)",
  "Gambang Toll Plaza", "Long (100-200km)",
  "CHECK"
)</f>
        <v>Long (100-200km)</v>
      </c>
      <c r="M259" s="7" t="str">
        <f t="shared" si="43"/>
        <v>Peak</v>
      </c>
      <c r="N259" s="7" t="str">
        <f t="shared" si="44"/>
        <v>Weekday</v>
      </c>
      <c r="O259" s="7">
        <f t="shared" si="45"/>
        <v>7</v>
      </c>
      <c r="P259" s="7" t="str">
        <f t="shared" si="46"/>
        <v>Jan</v>
      </c>
      <c r="Q259" s="6">
        <f t="shared" si="47"/>
        <v>100.00000000000003</v>
      </c>
    </row>
    <row r="260" spans="1:17" x14ac:dyDescent="0.25">
      <c r="A260" s="13" t="s">
        <v>274</v>
      </c>
      <c r="B260" s="15">
        <v>45311</v>
      </c>
      <c r="C260" s="16">
        <v>0.24666666666666667</v>
      </c>
      <c r="D260" s="13">
        <v>0.27791666666666665</v>
      </c>
      <c r="E260" s="13" t="s">
        <v>10</v>
      </c>
      <c r="F260" s="13" t="s">
        <v>11</v>
      </c>
      <c r="G260" s="13" t="s">
        <v>14</v>
      </c>
      <c r="H260" s="13" t="s">
        <v>13</v>
      </c>
      <c r="I260" s="13" t="s">
        <v>19</v>
      </c>
      <c r="J260" s="13" t="s">
        <v>22</v>
      </c>
      <c r="K260" s="6">
        <f t="shared" si="42"/>
        <v>44.999999999999957</v>
      </c>
      <c r="L260" s="7" t="str" cm="1">
        <f t="array" ref="L260">_xlfn.SWITCH(J260,
  "Bentong Toll Plaza", "Short (0-50km)",
  "Karak Toll Plaza", "Short (0-50km)",
  "Lanchang Toll Plaza", "Medium (50-100km)",
  "Temerloh Toll Plaza", "Medium (50-100km)",
  "Chenor Toll Plaza", "Long (100-200km)",
  "Maran Toll Plaza", "Long (100-200km)",
  "Gambang Toll Plaza", "Long (100-200km)",
  "CHECK"
)</f>
        <v>Short (0-50km)</v>
      </c>
      <c r="M260" s="7" t="str">
        <f t="shared" si="43"/>
        <v>Off-Peak</v>
      </c>
      <c r="N260" s="7" t="str">
        <f t="shared" si="44"/>
        <v>Weekend</v>
      </c>
      <c r="O260" s="7">
        <f t="shared" si="45"/>
        <v>5</v>
      </c>
      <c r="P260" s="7" t="str">
        <f t="shared" si="46"/>
        <v>Jan</v>
      </c>
      <c r="Q260" s="6">
        <f t="shared" si="47"/>
        <v>66.666666666666728</v>
      </c>
    </row>
    <row r="261" spans="1:17" x14ac:dyDescent="0.25">
      <c r="A261" s="13" t="s">
        <v>275</v>
      </c>
      <c r="B261" s="15">
        <v>45312</v>
      </c>
      <c r="C261" s="16">
        <v>0.56982638888888892</v>
      </c>
      <c r="D261" s="13">
        <v>0.65315972222222218</v>
      </c>
      <c r="E261" s="13" t="s">
        <v>15</v>
      </c>
      <c r="F261" s="13" t="s">
        <v>23</v>
      </c>
      <c r="G261" s="13" t="s">
        <v>12</v>
      </c>
      <c r="H261" s="13" t="s">
        <v>13</v>
      </c>
      <c r="I261" s="13" t="s">
        <v>19</v>
      </c>
      <c r="J261" s="13" t="s">
        <v>21</v>
      </c>
      <c r="K261" s="6">
        <f t="shared" si="42"/>
        <v>119.99999999999989</v>
      </c>
      <c r="L261" s="7" t="str" cm="1">
        <f t="array" ref="L261">_xlfn.SWITCH(J261,
  "Bentong Toll Plaza", "Short (0-50km)",
  "Karak Toll Plaza", "Short (0-50km)",
  "Lanchang Toll Plaza", "Medium (50-100km)",
  "Temerloh Toll Plaza", "Medium (50-100km)",
  "Chenor Toll Plaza", "Long (100-200km)",
  "Maran Toll Plaza", "Long (100-200km)",
  "Gambang Toll Plaza", "Long (100-200km)",
  "CHECK"
)</f>
        <v>Medium (50-100km)</v>
      </c>
      <c r="M261" s="7" t="str">
        <f t="shared" si="43"/>
        <v>Off-Peak</v>
      </c>
      <c r="N261" s="7" t="str">
        <f t="shared" si="44"/>
        <v>Weekend</v>
      </c>
      <c r="O261" s="7">
        <f t="shared" si="45"/>
        <v>13</v>
      </c>
      <c r="P261" s="7" t="str">
        <f t="shared" si="46"/>
        <v>Jan</v>
      </c>
      <c r="Q261" s="6">
        <f t="shared" si="47"/>
        <v>50.00000000000005</v>
      </c>
    </row>
    <row r="262" spans="1:17" x14ac:dyDescent="0.25">
      <c r="A262" s="13" t="s">
        <v>276</v>
      </c>
      <c r="B262" s="15">
        <v>45313</v>
      </c>
      <c r="C262" s="16">
        <v>0.25358796296296299</v>
      </c>
      <c r="D262" s="13">
        <v>0.28483796296296299</v>
      </c>
      <c r="E262" s="13" t="s">
        <v>10</v>
      </c>
      <c r="F262" s="13" t="s">
        <v>11</v>
      </c>
      <c r="G262" s="13" t="s">
        <v>16</v>
      </c>
      <c r="H262" s="13" t="s">
        <v>13</v>
      </c>
      <c r="I262" s="13" t="s">
        <v>19</v>
      </c>
      <c r="J262" s="13" t="s">
        <v>24</v>
      </c>
      <c r="K262" s="6">
        <f t="shared" si="42"/>
        <v>45</v>
      </c>
      <c r="L262" s="7" t="str" cm="1">
        <f t="array" ref="L262">_xlfn.SWITCH(J262,
  "Bentong Toll Plaza", "Short (0-50km)",
  "Karak Toll Plaza", "Short (0-50km)",
  "Lanchang Toll Plaza", "Medium (50-100km)",
  "Temerloh Toll Plaza", "Medium (50-100km)",
  "Chenor Toll Plaza", "Long (100-200km)",
  "Maran Toll Plaza", "Long (100-200km)",
  "Gambang Toll Plaza", "Long (100-200km)",
  "CHECK"
)</f>
        <v>Short (0-50km)</v>
      </c>
      <c r="M262" s="7" t="str">
        <f t="shared" si="43"/>
        <v>Off-Peak</v>
      </c>
      <c r="N262" s="7" t="str">
        <f t="shared" si="44"/>
        <v>Weekday</v>
      </c>
      <c r="O262" s="7">
        <f t="shared" si="45"/>
        <v>6</v>
      </c>
      <c r="P262" s="7" t="str">
        <f t="shared" si="46"/>
        <v>Jan</v>
      </c>
      <c r="Q262" s="6">
        <f t="shared" si="47"/>
        <v>66.666666666666671</v>
      </c>
    </row>
    <row r="263" spans="1:17" x14ac:dyDescent="0.25">
      <c r="A263" s="13" t="s">
        <v>277</v>
      </c>
      <c r="B263" s="15">
        <v>45314</v>
      </c>
      <c r="C263" s="16">
        <v>0.38358796296296294</v>
      </c>
      <c r="D263" s="13">
        <v>0.46692129629629631</v>
      </c>
      <c r="E263" s="13" t="s">
        <v>17</v>
      </c>
      <c r="F263" s="13" t="s">
        <v>18</v>
      </c>
      <c r="G263" s="13" t="s">
        <v>14</v>
      </c>
      <c r="H263" s="13" t="s">
        <v>13</v>
      </c>
      <c r="I263" s="13" t="s">
        <v>19</v>
      </c>
      <c r="J263" s="13" t="s">
        <v>20</v>
      </c>
      <c r="K263" s="6">
        <f t="shared" si="42"/>
        <v>120.00000000000006</v>
      </c>
      <c r="L263" s="7" t="str" cm="1">
        <f t="array" ref="L263">_xlfn.SWITCH(J263,
  "Bentong Toll Plaza", "Short (0-50km)",
  "Karak Toll Plaza", "Short (0-50km)",
  "Lanchang Toll Plaza", "Medium (50-100km)",
  "Temerloh Toll Plaza", "Medium (50-100km)",
  "Chenor Toll Plaza", "Long (100-200km)",
  "Maran Toll Plaza", "Long (100-200km)",
  "Gambang Toll Plaza", "Long (100-200km)",
  "CHECK"
)</f>
        <v>Long (100-200km)</v>
      </c>
      <c r="M263" s="7" t="str">
        <f t="shared" si="43"/>
        <v>Off-Peak</v>
      </c>
      <c r="N263" s="7" t="str">
        <f t="shared" si="44"/>
        <v>Weekday</v>
      </c>
      <c r="O263" s="7">
        <f t="shared" si="45"/>
        <v>9</v>
      </c>
      <c r="P263" s="7" t="str">
        <f t="shared" si="46"/>
        <v>Jan</v>
      </c>
      <c r="Q263" s="6">
        <f t="shared" si="47"/>
        <v>99.999999999999957</v>
      </c>
    </row>
    <row r="264" spans="1:17" x14ac:dyDescent="0.25">
      <c r="A264" s="13" t="s">
        <v>278</v>
      </c>
      <c r="B264" s="15">
        <v>45315</v>
      </c>
      <c r="C264" s="16">
        <v>0.36857638888888888</v>
      </c>
      <c r="D264" s="13">
        <v>0.39982638888888888</v>
      </c>
      <c r="E264" s="13" t="s">
        <v>10</v>
      </c>
      <c r="F264" s="13" t="s">
        <v>11</v>
      </c>
      <c r="G264" s="13" t="s">
        <v>14</v>
      </c>
      <c r="H264" s="13" t="s">
        <v>13</v>
      </c>
      <c r="I264" s="13" t="s">
        <v>19</v>
      </c>
      <c r="J264" s="13" t="s">
        <v>22</v>
      </c>
      <c r="K264" s="6">
        <f t="shared" si="42"/>
        <v>45</v>
      </c>
      <c r="L264" s="7" t="str" cm="1">
        <f t="array" ref="L264">_xlfn.SWITCH(J264,
  "Bentong Toll Plaza", "Short (0-50km)",
  "Karak Toll Plaza", "Short (0-50km)",
  "Lanchang Toll Plaza", "Medium (50-100km)",
  "Temerloh Toll Plaza", "Medium (50-100km)",
  "Chenor Toll Plaza", "Long (100-200km)",
  "Maran Toll Plaza", "Long (100-200km)",
  "Gambang Toll Plaza", "Long (100-200km)",
  "CHECK"
)</f>
        <v>Short (0-50km)</v>
      </c>
      <c r="M264" s="7" t="str">
        <f t="shared" si="43"/>
        <v>Peak</v>
      </c>
      <c r="N264" s="7" t="str">
        <f t="shared" si="44"/>
        <v>Weekday</v>
      </c>
      <c r="O264" s="7">
        <f t="shared" si="45"/>
        <v>8</v>
      </c>
      <c r="P264" s="7" t="str">
        <f t="shared" si="46"/>
        <v>Jan</v>
      </c>
      <c r="Q264" s="6">
        <f t="shared" si="47"/>
        <v>66.666666666666671</v>
      </c>
    </row>
    <row r="265" spans="1:17" x14ac:dyDescent="0.25">
      <c r="A265" s="13" t="s">
        <v>279</v>
      </c>
      <c r="B265" s="15">
        <v>45316</v>
      </c>
      <c r="C265" s="16">
        <v>0.62885416666666671</v>
      </c>
      <c r="D265" s="13">
        <v>0.71218749999999997</v>
      </c>
      <c r="E265" s="13" t="s">
        <v>15</v>
      </c>
      <c r="F265" s="13" t="s">
        <v>23</v>
      </c>
      <c r="G265" s="13" t="s">
        <v>12</v>
      </c>
      <c r="H265" s="13" t="s">
        <v>13</v>
      </c>
      <c r="I265" s="13" t="s">
        <v>19</v>
      </c>
      <c r="J265" s="13" t="s">
        <v>21</v>
      </c>
      <c r="K265" s="6">
        <f t="shared" si="42"/>
        <v>119.99999999999989</v>
      </c>
      <c r="L265" s="7" t="str" cm="1">
        <f t="array" ref="L265">_xlfn.SWITCH(J265,
  "Bentong Toll Plaza", "Short (0-50km)",
  "Karak Toll Plaza", "Short (0-50km)",
  "Lanchang Toll Plaza", "Medium (50-100km)",
  "Temerloh Toll Plaza", "Medium (50-100km)",
  "Chenor Toll Plaza", "Long (100-200km)",
  "Maran Toll Plaza", "Long (100-200km)",
  "Gambang Toll Plaza", "Long (100-200km)",
  "CHECK"
)</f>
        <v>Medium (50-100km)</v>
      </c>
      <c r="M265" s="7" t="str">
        <f t="shared" si="43"/>
        <v>Off-Peak</v>
      </c>
      <c r="N265" s="7" t="str">
        <f t="shared" si="44"/>
        <v>Weekday</v>
      </c>
      <c r="O265" s="7">
        <f t="shared" si="45"/>
        <v>15</v>
      </c>
      <c r="P265" s="7" t="str">
        <f t="shared" si="46"/>
        <v>Jan</v>
      </c>
      <c r="Q265" s="6">
        <f t="shared" si="47"/>
        <v>50.00000000000005</v>
      </c>
    </row>
    <row r="266" spans="1:17" x14ac:dyDescent="0.25">
      <c r="A266" s="13" t="s">
        <v>280</v>
      </c>
      <c r="B266" s="15">
        <v>45317</v>
      </c>
      <c r="C266" s="16">
        <v>0.30569444444444444</v>
      </c>
      <c r="D266" s="13">
        <v>0.33694444444444444</v>
      </c>
      <c r="E266" s="13" t="s">
        <v>10</v>
      </c>
      <c r="F266" s="13" t="s">
        <v>11</v>
      </c>
      <c r="G266" s="13" t="s">
        <v>16</v>
      </c>
      <c r="H266" s="13" t="s">
        <v>13</v>
      </c>
      <c r="I266" s="13" t="s">
        <v>19</v>
      </c>
      <c r="J266" s="13" t="s">
        <v>24</v>
      </c>
      <c r="K266" s="6">
        <f t="shared" si="42"/>
        <v>45</v>
      </c>
      <c r="L266" s="7" t="str" cm="1">
        <f t="array" ref="L266">_xlfn.SWITCH(J266,
  "Bentong Toll Plaza", "Short (0-50km)",
  "Karak Toll Plaza", "Short (0-50km)",
  "Lanchang Toll Plaza", "Medium (50-100km)",
  "Temerloh Toll Plaza", "Medium (50-100km)",
  "Chenor Toll Plaza", "Long (100-200km)",
  "Maran Toll Plaza", "Long (100-200km)",
  "Gambang Toll Plaza", "Long (100-200km)",
  "CHECK"
)</f>
        <v>Short (0-50km)</v>
      </c>
      <c r="M266" s="7" t="str">
        <f t="shared" si="43"/>
        <v>Peak</v>
      </c>
      <c r="N266" s="7" t="str">
        <f t="shared" si="44"/>
        <v>Weekday</v>
      </c>
      <c r="O266" s="7">
        <f t="shared" si="45"/>
        <v>7</v>
      </c>
      <c r="P266" s="7" t="str">
        <f t="shared" si="46"/>
        <v>Jan</v>
      </c>
      <c r="Q266" s="6">
        <f t="shared" si="47"/>
        <v>66.666666666666671</v>
      </c>
    </row>
    <row r="267" spans="1:17" x14ac:dyDescent="0.25">
      <c r="A267" s="13" t="s">
        <v>281</v>
      </c>
      <c r="B267" s="15">
        <v>45318</v>
      </c>
      <c r="C267" s="16">
        <v>0.42052083333333334</v>
      </c>
      <c r="D267" s="13">
        <v>0.50385416666666671</v>
      </c>
      <c r="E267" s="13" t="s">
        <v>17</v>
      </c>
      <c r="F267" s="13" t="s">
        <v>18</v>
      </c>
      <c r="G267" s="13" t="s">
        <v>16</v>
      </c>
      <c r="H267" s="13" t="s">
        <v>13</v>
      </c>
      <c r="I267" s="13" t="s">
        <v>19</v>
      </c>
      <c r="J267" s="13" t="s">
        <v>20</v>
      </c>
      <c r="K267" s="6">
        <f t="shared" si="42"/>
        <v>120.00000000000006</v>
      </c>
      <c r="L267" s="7" t="str" cm="1">
        <f t="array" ref="L267">_xlfn.SWITCH(J267,
  "Bentong Toll Plaza", "Short (0-50km)",
  "Karak Toll Plaza", "Short (0-50km)",
  "Lanchang Toll Plaza", "Medium (50-100km)",
  "Temerloh Toll Plaza", "Medium (50-100km)",
  "Chenor Toll Plaza", "Long (100-200km)",
  "Maran Toll Plaza", "Long (100-200km)",
  "Gambang Toll Plaza", "Long (100-200km)",
  "CHECK"
)</f>
        <v>Long (100-200km)</v>
      </c>
      <c r="M267" s="7" t="str">
        <f t="shared" si="43"/>
        <v>Off-Peak</v>
      </c>
      <c r="N267" s="7" t="str">
        <f t="shared" si="44"/>
        <v>Weekend</v>
      </c>
      <c r="O267" s="7">
        <f t="shared" si="45"/>
        <v>10</v>
      </c>
      <c r="P267" s="7" t="str">
        <f t="shared" si="46"/>
        <v>Jan</v>
      </c>
      <c r="Q267" s="6">
        <f t="shared" si="47"/>
        <v>99.999999999999957</v>
      </c>
    </row>
    <row r="268" spans="1:17" x14ac:dyDescent="0.25">
      <c r="A268" s="13" t="s">
        <v>282</v>
      </c>
      <c r="B268" s="15">
        <v>45319</v>
      </c>
      <c r="C268" s="16">
        <v>0.25858796296296294</v>
      </c>
      <c r="D268" s="13">
        <v>0.28983796296296294</v>
      </c>
      <c r="E268" s="13" t="s">
        <v>10</v>
      </c>
      <c r="F268" s="13" t="s">
        <v>11</v>
      </c>
      <c r="G268" s="13" t="s">
        <v>14</v>
      </c>
      <c r="H268" s="13" t="s">
        <v>13</v>
      </c>
      <c r="I268" s="13" t="s">
        <v>19</v>
      </c>
      <c r="J268" s="13" t="s">
        <v>22</v>
      </c>
      <c r="K268" s="6">
        <f t="shared" si="42"/>
        <v>45</v>
      </c>
      <c r="L268" s="7" t="str" cm="1">
        <f t="array" ref="L268">_xlfn.SWITCH(J268,
  "Bentong Toll Plaza", "Short (0-50km)",
  "Karak Toll Plaza", "Short (0-50km)",
  "Lanchang Toll Plaza", "Medium (50-100km)",
  "Temerloh Toll Plaza", "Medium (50-100km)",
  "Chenor Toll Plaza", "Long (100-200km)",
  "Maran Toll Plaza", "Long (100-200km)",
  "Gambang Toll Plaza", "Long (100-200km)",
  "CHECK"
)</f>
        <v>Short (0-50km)</v>
      </c>
      <c r="M268" s="7" t="str">
        <f t="shared" si="43"/>
        <v>Off-Peak</v>
      </c>
      <c r="N268" s="7" t="str">
        <f t="shared" si="44"/>
        <v>Weekend</v>
      </c>
      <c r="O268" s="7">
        <f t="shared" si="45"/>
        <v>6</v>
      </c>
      <c r="P268" s="7" t="str">
        <f t="shared" si="46"/>
        <v>Jan</v>
      </c>
      <c r="Q268" s="6">
        <f t="shared" si="47"/>
        <v>66.666666666666671</v>
      </c>
    </row>
    <row r="269" spans="1:17" x14ac:dyDescent="0.25">
      <c r="A269" s="13" t="s">
        <v>283</v>
      </c>
      <c r="B269" s="15">
        <v>45320</v>
      </c>
      <c r="C269" s="16">
        <v>0.7192708333333333</v>
      </c>
      <c r="D269" s="13">
        <v>0.80260416666666667</v>
      </c>
      <c r="E269" s="13" t="s">
        <v>15</v>
      </c>
      <c r="F269" s="13" t="s">
        <v>23</v>
      </c>
      <c r="G269" s="13" t="s">
        <v>12</v>
      </c>
      <c r="H269" s="13" t="s">
        <v>13</v>
      </c>
      <c r="I269" s="13" t="s">
        <v>19</v>
      </c>
      <c r="J269" s="13" t="s">
        <v>21</v>
      </c>
      <c r="K269" s="6">
        <f t="shared" si="42"/>
        <v>120.00000000000006</v>
      </c>
      <c r="L269" s="7" t="str" cm="1">
        <f t="array" ref="L269">_xlfn.SWITCH(J269,
  "Bentong Toll Plaza", "Short (0-50km)",
  "Karak Toll Plaza", "Short (0-50km)",
  "Lanchang Toll Plaza", "Medium (50-100km)",
  "Temerloh Toll Plaza", "Medium (50-100km)",
  "Chenor Toll Plaza", "Long (100-200km)",
  "Maran Toll Plaza", "Long (100-200km)",
  "Gambang Toll Plaza", "Long (100-200km)",
  "CHECK"
)</f>
        <v>Medium (50-100km)</v>
      </c>
      <c r="M269" s="7" t="str">
        <f t="shared" si="43"/>
        <v>Peak</v>
      </c>
      <c r="N269" s="7" t="str">
        <f t="shared" si="44"/>
        <v>Weekday</v>
      </c>
      <c r="O269" s="7">
        <f t="shared" si="45"/>
        <v>17</v>
      </c>
      <c r="P269" s="7" t="str">
        <f t="shared" si="46"/>
        <v>Jan</v>
      </c>
      <c r="Q269" s="6">
        <f t="shared" si="47"/>
        <v>49.999999999999979</v>
      </c>
    </row>
    <row r="270" spans="1:17" x14ac:dyDescent="0.25">
      <c r="A270" s="13" t="s">
        <v>284</v>
      </c>
      <c r="B270" s="15">
        <v>45321</v>
      </c>
      <c r="C270" s="16">
        <v>0.53486111111111112</v>
      </c>
      <c r="D270" s="13">
        <v>0.56611111111111112</v>
      </c>
      <c r="E270" s="13" t="s">
        <v>10</v>
      </c>
      <c r="F270" s="13" t="s">
        <v>11</v>
      </c>
      <c r="G270" s="13" t="s">
        <v>16</v>
      </c>
      <c r="H270" s="13" t="s">
        <v>13</v>
      </c>
      <c r="I270" s="13" t="s">
        <v>19</v>
      </c>
      <c r="J270" s="13" t="s">
        <v>24</v>
      </c>
      <c r="K270" s="6">
        <f t="shared" si="42"/>
        <v>45</v>
      </c>
      <c r="L270" s="7" t="str" cm="1">
        <f t="array" ref="L270">_xlfn.SWITCH(J270,
  "Bentong Toll Plaza", "Short (0-50km)",
  "Karak Toll Plaza", "Short (0-50km)",
  "Lanchang Toll Plaza", "Medium (50-100km)",
  "Temerloh Toll Plaza", "Medium (50-100km)",
  "Chenor Toll Plaza", "Long (100-200km)",
  "Maran Toll Plaza", "Long (100-200km)",
  "Gambang Toll Plaza", "Long (100-200km)",
  "CHECK"
)</f>
        <v>Short (0-50km)</v>
      </c>
      <c r="M270" s="7" t="str">
        <f t="shared" si="43"/>
        <v>Off-Peak</v>
      </c>
      <c r="N270" s="7" t="str">
        <f t="shared" si="44"/>
        <v>Weekday</v>
      </c>
      <c r="O270" s="7">
        <f t="shared" si="45"/>
        <v>12</v>
      </c>
      <c r="P270" s="7" t="str">
        <f t="shared" si="46"/>
        <v>Jan</v>
      </c>
      <c r="Q270" s="6">
        <f t="shared" si="47"/>
        <v>66.666666666666671</v>
      </c>
    </row>
    <row r="271" spans="1:17" x14ac:dyDescent="0.25">
      <c r="A271" s="13" t="s">
        <v>285</v>
      </c>
      <c r="B271" s="15">
        <v>45322</v>
      </c>
      <c r="C271" s="16">
        <v>0.29539351851851853</v>
      </c>
      <c r="D271" s="13">
        <v>0.37872685185185184</v>
      </c>
      <c r="E271" s="13" t="s">
        <v>17</v>
      </c>
      <c r="F271" s="13" t="s">
        <v>18</v>
      </c>
      <c r="G271" s="13" t="s">
        <v>16</v>
      </c>
      <c r="H271" s="13" t="s">
        <v>13</v>
      </c>
      <c r="I271" s="13" t="s">
        <v>19</v>
      </c>
      <c r="J271" s="13" t="s">
        <v>20</v>
      </c>
      <c r="K271" s="6">
        <f t="shared" si="42"/>
        <v>119.99999999999997</v>
      </c>
      <c r="L271" s="7" t="str" cm="1">
        <f t="array" ref="L271">_xlfn.SWITCH(J271,
  "Bentong Toll Plaza", "Short (0-50km)",
  "Karak Toll Plaza", "Short (0-50km)",
  "Lanchang Toll Plaza", "Medium (50-100km)",
  "Temerloh Toll Plaza", "Medium (50-100km)",
  "Chenor Toll Plaza", "Long (100-200km)",
  "Maran Toll Plaza", "Long (100-200km)",
  "Gambang Toll Plaza", "Long (100-200km)",
  "CHECK"
)</f>
        <v>Long (100-200km)</v>
      </c>
      <c r="M271" s="7" t="str">
        <f t="shared" si="43"/>
        <v>Peak</v>
      </c>
      <c r="N271" s="7" t="str">
        <f t="shared" si="44"/>
        <v>Weekday</v>
      </c>
      <c r="O271" s="7">
        <f t="shared" si="45"/>
        <v>7</v>
      </c>
      <c r="P271" s="7" t="str">
        <f t="shared" si="46"/>
        <v>Jan</v>
      </c>
      <c r="Q271" s="6">
        <f t="shared" si="47"/>
        <v>100.00000000000003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fzyjml</dc:creator>
  <cp:lastModifiedBy>fzyjml</cp:lastModifiedBy>
  <dcterms:created xsi:type="dcterms:W3CDTF">2025-11-29T17:13:35Z</dcterms:created>
  <dcterms:modified xsi:type="dcterms:W3CDTF">2025-11-30T06:58:57Z</dcterms:modified>
</cp:coreProperties>
</file>